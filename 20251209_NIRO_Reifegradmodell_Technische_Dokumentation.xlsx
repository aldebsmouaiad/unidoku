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xr:revisionPtr revIDLastSave="0" documentId="13_ncr:1_{14211706-C183-4CBF-B6F1-959AE1F908FA}" xr6:coauthVersionLast="47" xr6:coauthVersionMax="47" xr10:uidLastSave="{00000000-0000-0000-0000-000000000000}"/>
  <bookViews>
    <workbookView xWindow="-19310" yWindow="-110" windowWidth="19420" windowHeight="10300" tabRatio="823" firstSheet="2" activeTab="8" xr2:uid="{00000000-000D-0000-FFFF-FFFF00000000}"/>
  </bookViews>
  <sheets>
    <sheet name="Deckblatt" sheetId="2" r:id="rId1"/>
    <sheet name="Einführung" sheetId="4" r:id="rId2"/>
    <sheet name="Dashboard" sheetId="33" r:id="rId3"/>
    <sheet name="Ausfüllhinweise" sheetId="9" r:id="rId4"/>
    <sheet name="Erläuterung" sheetId="57" r:id="rId5"/>
    <sheet name="Glossar" sheetId="16" r:id="rId6"/>
    <sheet name="Offene Punkte" sheetId="58" r:id="rId7"/>
    <sheet name="TD1.1" sheetId="8" r:id="rId8"/>
    <sheet name="TD1.2" sheetId="20" r:id="rId9"/>
    <sheet name="TD1.3" sheetId="21" r:id="rId10"/>
    <sheet name="TD1.4" sheetId="22" r:id="rId11"/>
    <sheet name="TD1.5" sheetId="23" r:id="rId12"/>
    <sheet name="TD1.6" sheetId="24" r:id="rId13"/>
    <sheet name="TD2.1" sheetId="25" r:id="rId14"/>
    <sheet name="TD2.2" sheetId="26" r:id="rId15"/>
    <sheet name="TD2.3" sheetId="27" r:id="rId16"/>
    <sheet name="TD2.4" sheetId="28" r:id="rId17"/>
    <sheet name="TD2.5" sheetId="29" r:id="rId18"/>
    <sheet name="TD2.6" sheetId="30" r:id="rId19"/>
    <sheet name="TD2.7" sheetId="31" r:id="rId20"/>
    <sheet name="TD2.8" sheetId="32" r:id="rId21"/>
    <sheet name="TD3.1" sheetId="37" r:id="rId22"/>
    <sheet name="TD3.2" sheetId="38" r:id="rId23"/>
    <sheet name="TD3.3" sheetId="39" r:id="rId24"/>
    <sheet name="TD3.4" sheetId="40" r:id="rId25"/>
    <sheet name="TD4.1" sheetId="45" r:id="rId26"/>
    <sheet name="TD4.2" sheetId="42" r:id="rId27"/>
    <sheet name="TD4.3" sheetId="43" r:id="rId28"/>
    <sheet name="TD4.4" sheetId="44" r:id="rId29"/>
    <sheet name="OG1.1" sheetId="46" r:id="rId30"/>
    <sheet name="OG1.2" sheetId="47" r:id="rId31"/>
    <sheet name="OG2.1" sheetId="48" r:id="rId32"/>
    <sheet name="OG2.2" sheetId="49" r:id="rId33"/>
    <sheet name="OG2.3" sheetId="50" r:id="rId34"/>
    <sheet name="OG3.1" sheetId="51" r:id="rId35"/>
    <sheet name="OG3.2" sheetId="52" r:id="rId36"/>
    <sheet name="OG4.1" sheetId="53" r:id="rId37"/>
    <sheet name="OG4.2" sheetId="54" r:id="rId38"/>
    <sheet name="OG4.3" sheetId="55" r:id="rId39"/>
    <sheet name="OG4.4" sheetId="56" r:id="rId40"/>
    <sheet name="Versionshistorie" sheetId="34" r:id="rId41"/>
    <sheet name="Data" sheetId="36" r:id="rId42"/>
  </sheets>
  <definedNames>
    <definedName name="_xlnm.Print_Area" localSheetId="2">Dashboard!$A$1:$J$69</definedName>
    <definedName name="_xlnm.Print_Area" localSheetId="1">Einführung!$P$16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 i="58" l="1" a="1"/>
  <c r="D4" i="58" s="1"/>
  <c r="B4" i="58" a="1"/>
  <c r="B4" i="58" s="1"/>
  <c r="C4" i="58" s="1"/>
  <c r="C5" i="58" l="1"/>
  <c r="C6" i="58" s="1"/>
  <c r="C7" i="58" s="1"/>
  <c r="C8" i="58" s="1"/>
  <c r="C9" i="58" s="1"/>
  <c r="C10" i="58" s="1"/>
  <c r="C11" i="58" s="1"/>
  <c r="C12" i="58" s="1"/>
  <c r="C13" i="58" s="1"/>
  <c r="C14" i="58" s="1"/>
  <c r="C15" i="58" s="1"/>
  <c r="C16" i="58" s="1"/>
  <c r="C17" i="58" s="1"/>
  <c r="C18" i="58" s="1"/>
  <c r="C19" i="58" s="1"/>
  <c r="C20" i="58" s="1"/>
  <c r="D7" i="36"/>
  <c r="D8" i="36"/>
  <c r="D9" i="36"/>
  <c r="D11" i="36"/>
  <c r="D12" i="36"/>
  <c r="D13" i="36"/>
  <c r="D14" i="36"/>
  <c r="D15" i="36"/>
  <c r="D16" i="36"/>
  <c r="D17" i="36"/>
  <c r="D19" i="36"/>
  <c r="D20" i="36"/>
  <c r="D21" i="36"/>
  <c r="D22" i="36"/>
  <c r="D24" i="36"/>
  <c r="X25" i="56"/>
  <c r="X22" i="56"/>
  <c r="X19" i="56"/>
  <c r="X17" i="56"/>
  <c r="S17" i="56"/>
  <c r="T17" i="56"/>
  <c r="S18" i="56"/>
  <c r="T18" i="56"/>
  <c r="S19" i="56"/>
  <c r="T19" i="56"/>
  <c r="S20" i="56"/>
  <c r="T20" i="56"/>
  <c r="S21" i="56"/>
  <c r="T21" i="56"/>
  <c r="S22" i="56"/>
  <c r="T22" i="56"/>
  <c r="S23" i="56"/>
  <c r="T23" i="56"/>
  <c r="S24" i="56"/>
  <c r="T24" i="56"/>
  <c r="S25" i="56"/>
  <c r="T25" i="56"/>
  <c r="S26" i="56"/>
  <c r="T26" i="56"/>
  <c r="S27" i="56"/>
  <c r="T27" i="56"/>
  <c r="T16" i="56"/>
  <c r="S16" i="56"/>
  <c r="Z16" i="55"/>
  <c r="X24" i="55"/>
  <c r="X21" i="55"/>
  <c r="X19" i="55"/>
  <c r="X17" i="55"/>
  <c r="X16" i="55"/>
  <c r="S17" i="55"/>
  <c r="T17" i="55"/>
  <c r="S18" i="55"/>
  <c r="T18" i="55"/>
  <c r="S19" i="55"/>
  <c r="T19" i="55"/>
  <c r="S20" i="55"/>
  <c r="T20" i="55"/>
  <c r="S21" i="55"/>
  <c r="T21" i="55"/>
  <c r="S22" i="55"/>
  <c r="T22" i="55"/>
  <c r="S23" i="55"/>
  <c r="T23" i="55"/>
  <c r="S24" i="55"/>
  <c r="T24" i="55"/>
  <c r="S25" i="55"/>
  <c r="T25" i="55"/>
  <c r="S26" i="55"/>
  <c r="T26" i="55"/>
  <c r="T16" i="55"/>
  <c r="S16" i="55"/>
  <c r="Z16" i="54" l="1"/>
  <c r="X21" i="54"/>
  <c r="X28" i="54"/>
  <c r="X25" i="54"/>
  <c r="X18" i="54"/>
  <c r="X16" i="54"/>
  <c r="S17" i="54"/>
  <c r="T17" i="54"/>
  <c r="S18" i="54"/>
  <c r="T18" i="54"/>
  <c r="S19" i="54"/>
  <c r="T19" i="54"/>
  <c r="S20" i="54"/>
  <c r="T20" i="54"/>
  <c r="S21" i="54"/>
  <c r="T21" i="54"/>
  <c r="S22" i="54"/>
  <c r="T22" i="54"/>
  <c r="S23" i="54"/>
  <c r="T23" i="54"/>
  <c r="S24" i="54"/>
  <c r="T24" i="54"/>
  <c r="S25" i="54"/>
  <c r="T25" i="54"/>
  <c r="S26" i="54"/>
  <c r="T26" i="54"/>
  <c r="S27" i="54"/>
  <c r="T27" i="54"/>
  <c r="S28" i="54"/>
  <c r="T28" i="54"/>
  <c r="S29" i="54"/>
  <c r="T29" i="54"/>
  <c r="S30" i="54"/>
  <c r="T30" i="54"/>
  <c r="T16" i="54"/>
  <c r="S16" i="54"/>
  <c r="Z16" i="53"/>
  <c r="X27" i="53"/>
  <c r="X23" i="53"/>
  <c r="X20" i="53"/>
  <c r="X17" i="53"/>
  <c r="X16" i="53"/>
  <c r="S17" i="53"/>
  <c r="T17" i="53"/>
  <c r="S18" i="53"/>
  <c r="T18" i="53"/>
  <c r="S19" i="53"/>
  <c r="T19" i="53"/>
  <c r="S20" i="53"/>
  <c r="T20" i="53"/>
  <c r="S21" i="53"/>
  <c r="T21" i="53"/>
  <c r="S22" i="53"/>
  <c r="T22" i="53"/>
  <c r="S23" i="53"/>
  <c r="T23" i="53"/>
  <c r="S24" i="53"/>
  <c r="T24" i="53"/>
  <c r="S25" i="53"/>
  <c r="T25" i="53"/>
  <c r="S26" i="53"/>
  <c r="T26" i="53"/>
  <c r="S27" i="53"/>
  <c r="T27" i="53"/>
  <c r="S28" i="53"/>
  <c r="T28" i="53"/>
  <c r="T16" i="53"/>
  <c r="S16" i="53"/>
  <c r="X24" i="52"/>
  <c r="X20" i="52"/>
  <c r="X28" i="52"/>
  <c r="S17" i="52"/>
  <c r="T17" i="52"/>
  <c r="S18" i="52"/>
  <c r="T18" i="52"/>
  <c r="S19" i="52"/>
  <c r="T19" i="52"/>
  <c r="S20" i="52"/>
  <c r="T20" i="52"/>
  <c r="S21" i="52"/>
  <c r="T21" i="52"/>
  <c r="S22" i="52"/>
  <c r="T22" i="52"/>
  <c r="S23" i="52"/>
  <c r="T23" i="52"/>
  <c r="S24" i="52"/>
  <c r="T24" i="52"/>
  <c r="S25" i="52"/>
  <c r="T25" i="52"/>
  <c r="S26" i="52"/>
  <c r="T26" i="52"/>
  <c r="S27" i="52"/>
  <c r="T27" i="52"/>
  <c r="S28" i="52"/>
  <c r="T28" i="52"/>
  <c r="S29" i="52"/>
  <c r="T29" i="52"/>
  <c r="S30" i="52"/>
  <c r="T30" i="52"/>
  <c r="T16" i="52"/>
  <c r="S16" i="52"/>
  <c r="Z16" i="51"/>
  <c r="X24" i="51"/>
  <c r="X20" i="51"/>
  <c r="X28" i="51"/>
  <c r="X17" i="51"/>
  <c r="X16" i="51"/>
  <c r="S17" i="51"/>
  <c r="T17" i="51"/>
  <c r="S18" i="51"/>
  <c r="T18" i="51"/>
  <c r="S19" i="51"/>
  <c r="T19" i="51"/>
  <c r="S20" i="51"/>
  <c r="T20" i="51"/>
  <c r="S21" i="51"/>
  <c r="T21" i="51"/>
  <c r="S22" i="51"/>
  <c r="T22" i="51"/>
  <c r="S23" i="51"/>
  <c r="T23" i="51"/>
  <c r="S24" i="51"/>
  <c r="T24" i="51"/>
  <c r="S25" i="51"/>
  <c r="T25" i="51"/>
  <c r="S26" i="51"/>
  <c r="T26" i="51"/>
  <c r="S27" i="51"/>
  <c r="T27" i="51"/>
  <c r="S28" i="51"/>
  <c r="T28" i="51"/>
  <c r="S29" i="51"/>
  <c r="T29" i="51"/>
  <c r="S30" i="51"/>
  <c r="T30" i="51"/>
  <c r="T16" i="51"/>
  <c r="S16" i="51"/>
  <c r="X23" i="50"/>
  <c r="X18" i="50"/>
  <c r="X26" i="50"/>
  <c r="X21" i="50"/>
  <c r="S17" i="50"/>
  <c r="T17" i="50"/>
  <c r="S18" i="50"/>
  <c r="T18" i="50"/>
  <c r="S19" i="50"/>
  <c r="T19" i="50"/>
  <c r="S20" i="50"/>
  <c r="T20" i="50"/>
  <c r="S21" i="50"/>
  <c r="T21" i="50"/>
  <c r="S22" i="50"/>
  <c r="T22" i="50"/>
  <c r="S23" i="50"/>
  <c r="T23" i="50"/>
  <c r="S24" i="50"/>
  <c r="T24" i="50"/>
  <c r="S25" i="50"/>
  <c r="T25" i="50"/>
  <c r="S26" i="50"/>
  <c r="T26" i="50"/>
  <c r="S27" i="50"/>
  <c r="T27" i="50"/>
  <c r="T16" i="50"/>
  <c r="S16" i="50"/>
  <c r="Z16" i="49"/>
  <c r="X22" i="49"/>
  <c r="X26" i="49"/>
  <c r="X19" i="49"/>
  <c r="X17" i="49"/>
  <c r="X16" i="49"/>
  <c r="S17" i="49"/>
  <c r="T17" i="49"/>
  <c r="S18" i="49"/>
  <c r="T18" i="49"/>
  <c r="S19" i="49"/>
  <c r="T19" i="49"/>
  <c r="S20" i="49"/>
  <c r="T20" i="49"/>
  <c r="S21" i="49"/>
  <c r="T21" i="49"/>
  <c r="S22" i="49"/>
  <c r="T22" i="49"/>
  <c r="S23" i="49"/>
  <c r="T23" i="49"/>
  <c r="S24" i="49"/>
  <c r="T24" i="49"/>
  <c r="S25" i="49"/>
  <c r="T25" i="49"/>
  <c r="S26" i="49"/>
  <c r="T26" i="49"/>
  <c r="S27" i="49"/>
  <c r="T27" i="49"/>
  <c r="S28" i="49"/>
  <c r="T28" i="49"/>
  <c r="T16" i="49"/>
  <c r="S16" i="49"/>
  <c r="X28" i="48" l="1"/>
  <c r="X21" i="48"/>
  <c r="X18" i="48"/>
  <c r="S17" i="48"/>
  <c r="T17" i="48"/>
  <c r="S18" i="48"/>
  <c r="T18" i="48"/>
  <c r="S19" i="48"/>
  <c r="T19" i="48"/>
  <c r="S20" i="48"/>
  <c r="T20" i="48"/>
  <c r="S21" i="48"/>
  <c r="T21" i="48"/>
  <c r="S22" i="48"/>
  <c r="T22" i="48"/>
  <c r="S23" i="48"/>
  <c r="T23" i="48"/>
  <c r="S24" i="48"/>
  <c r="T24" i="48"/>
  <c r="S25" i="48"/>
  <c r="T25" i="48"/>
  <c r="S26" i="48"/>
  <c r="T26" i="48"/>
  <c r="S27" i="48"/>
  <c r="T27" i="48"/>
  <c r="S28" i="48"/>
  <c r="T28" i="48"/>
  <c r="S29" i="48"/>
  <c r="T29" i="48"/>
  <c r="S30" i="48"/>
  <c r="T30" i="48"/>
  <c r="T16" i="48"/>
  <c r="S16" i="48"/>
  <c r="X25" i="47"/>
  <c r="X22" i="47"/>
  <c r="X19" i="47"/>
  <c r="X17" i="47"/>
  <c r="S17" i="47"/>
  <c r="T17" i="47"/>
  <c r="S18" i="47"/>
  <c r="T18" i="47"/>
  <c r="S19" i="47"/>
  <c r="T19" i="47"/>
  <c r="S20" i="47"/>
  <c r="T20" i="47"/>
  <c r="S21" i="47"/>
  <c r="T21" i="47"/>
  <c r="S22" i="47"/>
  <c r="T22" i="47"/>
  <c r="S23" i="47"/>
  <c r="T23" i="47"/>
  <c r="S24" i="47"/>
  <c r="T24" i="47"/>
  <c r="S25" i="47"/>
  <c r="T25" i="47"/>
  <c r="S26" i="47"/>
  <c r="T26" i="47"/>
  <c r="S27" i="47"/>
  <c r="T27" i="47"/>
  <c r="T16" i="47"/>
  <c r="S16" i="47"/>
  <c r="X24" i="46"/>
  <c r="X28" i="46"/>
  <c r="T17" i="46"/>
  <c r="T18" i="46"/>
  <c r="T19" i="46"/>
  <c r="T20" i="46"/>
  <c r="T21" i="46"/>
  <c r="T22" i="46"/>
  <c r="T23" i="46"/>
  <c r="T24" i="46"/>
  <c r="T25" i="46"/>
  <c r="T26" i="46"/>
  <c r="T27" i="46"/>
  <c r="T28" i="46"/>
  <c r="T29" i="46"/>
  <c r="T30" i="46"/>
  <c r="T16" i="46"/>
  <c r="S17" i="46"/>
  <c r="S18" i="46"/>
  <c r="S19" i="46"/>
  <c r="S20" i="46"/>
  <c r="S21" i="46"/>
  <c r="S22" i="46"/>
  <c r="S23" i="46"/>
  <c r="S24" i="46"/>
  <c r="S25" i="46"/>
  <c r="S26" i="46"/>
  <c r="S27" i="46"/>
  <c r="S28" i="46"/>
  <c r="S29" i="46"/>
  <c r="S30" i="46"/>
  <c r="S16" i="46"/>
  <c r="X24" i="44"/>
  <c r="X21" i="44"/>
  <c r="X18" i="44"/>
  <c r="X28" i="44"/>
  <c r="X22" i="43"/>
  <c r="X19" i="43"/>
  <c r="X25" i="43"/>
  <c r="X17" i="43"/>
  <c r="Z16" i="42"/>
  <c r="X24" i="42"/>
  <c r="X22" i="42"/>
  <c r="X20" i="42"/>
  <c r="X18" i="42"/>
  <c r="X16" i="42"/>
  <c r="Z16" i="45"/>
  <c r="X26" i="45"/>
  <c r="X22" i="45"/>
  <c r="X19" i="45"/>
  <c r="X17" i="45"/>
  <c r="X16" i="45"/>
  <c r="Z16" i="40"/>
  <c r="X23" i="40"/>
  <c r="X21" i="40"/>
  <c r="X19" i="40"/>
  <c r="X17" i="40"/>
  <c r="X16" i="40"/>
  <c r="X25" i="39"/>
  <c r="X22" i="39"/>
  <c r="X19" i="39"/>
  <c r="X17" i="39"/>
  <c r="X16" i="39"/>
  <c r="T17" i="44"/>
  <c r="T18" i="44"/>
  <c r="T19" i="44"/>
  <c r="T20" i="44"/>
  <c r="T21" i="44"/>
  <c r="T22" i="44"/>
  <c r="T23" i="44"/>
  <c r="T24" i="44"/>
  <c r="T25" i="44"/>
  <c r="T26" i="44"/>
  <c r="T27" i="44"/>
  <c r="T28" i="44"/>
  <c r="T29" i="44"/>
  <c r="T16" i="44"/>
  <c r="T17" i="43"/>
  <c r="T18" i="43"/>
  <c r="T19" i="43"/>
  <c r="T20" i="43"/>
  <c r="T21" i="43"/>
  <c r="T22" i="43"/>
  <c r="T23" i="43"/>
  <c r="T24" i="43"/>
  <c r="T25" i="43"/>
  <c r="T26" i="43"/>
  <c r="T16" i="43"/>
  <c r="T17" i="42"/>
  <c r="T18" i="42"/>
  <c r="T19" i="42"/>
  <c r="T20" i="42"/>
  <c r="T21" i="42"/>
  <c r="T22" i="42"/>
  <c r="T23" i="42"/>
  <c r="T24" i="42"/>
  <c r="T25" i="42"/>
  <c r="T16" i="42"/>
  <c r="T17" i="45"/>
  <c r="T18" i="45"/>
  <c r="T19" i="45"/>
  <c r="T20" i="45"/>
  <c r="T21" i="45"/>
  <c r="T22" i="45"/>
  <c r="T23" i="45"/>
  <c r="T24" i="45"/>
  <c r="T25" i="45"/>
  <c r="T26" i="45"/>
  <c r="T27" i="45"/>
  <c r="T28" i="45"/>
  <c r="T16" i="45"/>
  <c r="T17" i="40"/>
  <c r="T18" i="40"/>
  <c r="T19" i="40"/>
  <c r="T20" i="40"/>
  <c r="T21" i="40"/>
  <c r="T22" i="40"/>
  <c r="T23" i="40"/>
  <c r="T24" i="40"/>
  <c r="T25" i="40"/>
  <c r="T16" i="40"/>
  <c r="S17" i="44"/>
  <c r="S18" i="44"/>
  <c r="S19" i="44"/>
  <c r="S20" i="44"/>
  <c r="S21" i="44"/>
  <c r="S22" i="44"/>
  <c r="S23" i="44"/>
  <c r="S24" i="44"/>
  <c r="S25" i="44"/>
  <c r="S26" i="44"/>
  <c r="S27" i="44"/>
  <c r="S28" i="44"/>
  <c r="S29" i="44"/>
  <c r="S16" i="44"/>
  <c r="S17" i="43"/>
  <c r="S18" i="43"/>
  <c r="S19" i="43"/>
  <c r="S20" i="43"/>
  <c r="S21" i="43"/>
  <c r="S22" i="43"/>
  <c r="S23" i="43"/>
  <c r="S24" i="43"/>
  <c r="S25" i="43"/>
  <c r="S26" i="43"/>
  <c r="S16" i="43"/>
  <c r="S17" i="42"/>
  <c r="S18" i="42"/>
  <c r="S19" i="42"/>
  <c r="S20" i="42"/>
  <c r="S21" i="42"/>
  <c r="S22" i="42"/>
  <c r="S23" i="42"/>
  <c r="S24" i="42"/>
  <c r="S25" i="42"/>
  <c r="S16" i="42"/>
  <c r="S17" i="45"/>
  <c r="S18" i="45"/>
  <c r="S19" i="45"/>
  <c r="S20" i="45"/>
  <c r="S21" i="45"/>
  <c r="S22" i="45"/>
  <c r="S23" i="45"/>
  <c r="S24" i="45"/>
  <c r="S25" i="45"/>
  <c r="S26" i="45"/>
  <c r="S27" i="45"/>
  <c r="S28" i="45"/>
  <c r="S16" i="45"/>
  <c r="S17" i="40"/>
  <c r="S18" i="40"/>
  <c r="S19" i="40"/>
  <c r="S20" i="40"/>
  <c r="S21" i="40"/>
  <c r="S22" i="40"/>
  <c r="S23" i="40"/>
  <c r="S24" i="40"/>
  <c r="S25" i="40"/>
  <c r="S16" i="40"/>
  <c r="S17" i="39"/>
  <c r="T17" i="39"/>
  <c r="S18" i="39"/>
  <c r="T18" i="39"/>
  <c r="S19" i="39"/>
  <c r="T19" i="39"/>
  <c r="S20" i="39"/>
  <c r="T20" i="39"/>
  <c r="S21" i="39"/>
  <c r="T21" i="39"/>
  <c r="S22" i="39"/>
  <c r="T22" i="39"/>
  <c r="S23" i="39"/>
  <c r="T23" i="39"/>
  <c r="S24" i="39"/>
  <c r="T24" i="39"/>
  <c r="S25" i="39"/>
  <c r="T25" i="39"/>
  <c r="S26" i="39"/>
  <c r="T26" i="39"/>
  <c r="S27" i="39"/>
  <c r="T27" i="39"/>
  <c r="T16" i="39"/>
  <c r="S16" i="39"/>
  <c r="X25" i="38"/>
  <c r="X22" i="38"/>
  <c r="X19" i="38"/>
  <c r="X17" i="38"/>
  <c r="S17" i="38"/>
  <c r="T17" i="38"/>
  <c r="S18" i="38"/>
  <c r="T18" i="38"/>
  <c r="S19" i="38"/>
  <c r="T19" i="38"/>
  <c r="S20" i="38"/>
  <c r="T20" i="38"/>
  <c r="S21" i="38"/>
  <c r="T21" i="38"/>
  <c r="S22" i="38"/>
  <c r="T22" i="38"/>
  <c r="S23" i="38"/>
  <c r="T23" i="38"/>
  <c r="S24" i="38"/>
  <c r="T24" i="38"/>
  <c r="S25" i="38"/>
  <c r="T25" i="38"/>
  <c r="S26" i="38"/>
  <c r="T26" i="38"/>
  <c r="S27" i="38"/>
  <c r="T27" i="38"/>
  <c r="T16" i="38"/>
  <c r="S16" i="38"/>
  <c r="X27" i="37"/>
  <c r="X23" i="37"/>
  <c r="X19" i="37"/>
  <c r="X17" i="37"/>
  <c r="T17" i="37"/>
  <c r="T18" i="37"/>
  <c r="T19" i="37"/>
  <c r="T20" i="37"/>
  <c r="T21" i="37"/>
  <c r="T22" i="37"/>
  <c r="T23" i="37"/>
  <c r="T24" i="37"/>
  <c r="T25" i="37"/>
  <c r="T26" i="37"/>
  <c r="T27" i="37"/>
  <c r="T28" i="37"/>
  <c r="T16" i="37"/>
  <c r="S17" i="37"/>
  <c r="S18" i="37"/>
  <c r="S19" i="37"/>
  <c r="S20" i="37"/>
  <c r="S21" i="37"/>
  <c r="S22" i="37"/>
  <c r="S23" i="37"/>
  <c r="S24" i="37"/>
  <c r="S25" i="37"/>
  <c r="S26" i="37"/>
  <c r="S27" i="37"/>
  <c r="S28" i="37"/>
  <c r="S16" i="37"/>
  <c r="Z16" i="32"/>
  <c r="X25" i="32"/>
  <c r="X22" i="32"/>
  <c r="X19" i="32"/>
  <c r="X17" i="32"/>
  <c r="X16" i="32"/>
  <c r="S17" i="32"/>
  <c r="S18" i="32"/>
  <c r="S19" i="32"/>
  <c r="S20" i="32"/>
  <c r="S21" i="32"/>
  <c r="S22" i="32"/>
  <c r="S23" i="32"/>
  <c r="S24" i="32"/>
  <c r="S25" i="32"/>
  <c r="S26" i="32"/>
  <c r="S27" i="32"/>
  <c r="S16" i="32"/>
  <c r="Z16" i="31"/>
  <c r="X27" i="31"/>
  <c r="X23" i="31"/>
  <c r="X19" i="31"/>
  <c r="X17" i="31"/>
  <c r="X16" i="31"/>
  <c r="T16" i="31"/>
  <c r="S17" i="31"/>
  <c r="S18" i="31"/>
  <c r="S19" i="31"/>
  <c r="S20" i="31"/>
  <c r="S21" i="31"/>
  <c r="S22" i="31"/>
  <c r="S23" i="31"/>
  <c r="S24" i="31"/>
  <c r="S25" i="31"/>
  <c r="S26" i="31"/>
  <c r="S27" i="31"/>
  <c r="S28" i="31"/>
  <c r="S29" i="31"/>
  <c r="S16" i="31"/>
  <c r="X16" i="30"/>
  <c r="X28" i="30"/>
  <c r="X24" i="30"/>
  <c r="T17" i="30"/>
  <c r="T18" i="30"/>
  <c r="T19" i="30"/>
  <c r="T20" i="30"/>
  <c r="T21" i="30"/>
  <c r="T22" i="30"/>
  <c r="T23" i="30"/>
  <c r="T24" i="30"/>
  <c r="T25" i="30"/>
  <c r="T26" i="30"/>
  <c r="T27" i="30"/>
  <c r="T28" i="30"/>
  <c r="T29" i="30"/>
  <c r="T30" i="30"/>
  <c r="T16" i="30"/>
  <c r="S17" i="30"/>
  <c r="S18" i="30"/>
  <c r="S19" i="30"/>
  <c r="S20" i="30"/>
  <c r="S21" i="30"/>
  <c r="S22" i="30"/>
  <c r="S23" i="30"/>
  <c r="S24" i="30"/>
  <c r="S25" i="30"/>
  <c r="S26" i="30"/>
  <c r="S27" i="30"/>
  <c r="S28" i="30"/>
  <c r="S29" i="30"/>
  <c r="S30" i="30"/>
  <c r="S16" i="30"/>
  <c r="X24" i="29"/>
  <c r="X19" i="29"/>
  <c r="X22" i="29"/>
  <c r="T17" i="29"/>
  <c r="T18" i="29"/>
  <c r="T19" i="29"/>
  <c r="T20" i="29"/>
  <c r="T21" i="29"/>
  <c r="T22" i="29"/>
  <c r="T23" i="29"/>
  <c r="T24" i="29"/>
  <c r="T25" i="29"/>
  <c r="T26" i="29"/>
  <c r="T16" i="29"/>
  <c r="S17" i="29"/>
  <c r="S18" i="29"/>
  <c r="S19" i="29"/>
  <c r="S20" i="29"/>
  <c r="S21" i="29"/>
  <c r="S22" i="29"/>
  <c r="S23" i="29"/>
  <c r="S24" i="29"/>
  <c r="S25" i="29"/>
  <c r="S26" i="29"/>
  <c r="S16" i="29"/>
  <c r="X25" i="28"/>
  <c r="X22" i="28"/>
  <c r="X19" i="28"/>
  <c r="T17" i="28"/>
  <c r="T18" i="28"/>
  <c r="T19" i="28"/>
  <c r="T20" i="28"/>
  <c r="T21" i="28"/>
  <c r="T22" i="28"/>
  <c r="T23" i="28"/>
  <c r="T24" i="28"/>
  <c r="T25" i="28"/>
  <c r="T26" i="28"/>
  <c r="T27" i="28"/>
  <c r="T16" i="28"/>
  <c r="S17" i="28"/>
  <c r="S18" i="28"/>
  <c r="S19" i="28"/>
  <c r="S20" i="28"/>
  <c r="S21" i="28"/>
  <c r="S22" i="28"/>
  <c r="S23" i="28"/>
  <c r="S24" i="28"/>
  <c r="S25" i="28"/>
  <c r="S26" i="28"/>
  <c r="S27" i="28"/>
  <c r="S16" i="28"/>
  <c r="X26" i="27"/>
  <c r="X23" i="27"/>
  <c r="X20" i="27"/>
  <c r="T17" i="27"/>
  <c r="T18" i="27"/>
  <c r="T19" i="27"/>
  <c r="T20" i="27"/>
  <c r="T21" i="27"/>
  <c r="T22" i="27"/>
  <c r="T23" i="27"/>
  <c r="T24" i="27"/>
  <c r="T25" i="27"/>
  <c r="T26" i="27"/>
  <c r="T27" i="27"/>
  <c r="T28" i="27"/>
  <c r="T16" i="27"/>
  <c r="S17" i="27"/>
  <c r="S18" i="27"/>
  <c r="S19" i="27"/>
  <c r="S20" i="27"/>
  <c r="S21" i="27"/>
  <c r="S22" i="27"/>
  <c r="S23" i="27"/>
  <c r="S24" i="27"/>
  <c r="S25" i="27"/>
  <c r="S26" i="27"/>
  <c r="S27" i="27"/>
  <c r="S28" i="27"/>
  <c r="S16" i="27"/>
  <c r="X26" i="26"/>
  <c r="X22" i="26"/>
  <c r="T17" i="26"/>
  <c r="T18" i="26"/>
  <c r="T19" i="26"/>
  <c r="T20" i="26"/>
  <c r="T21" i="26"/>
  <c r="T22" i="26"/>
  <c r="T23" i="26"/>
  <c r="T24" i="26"/>
  <c r="T25" i="26"/>
  <c r="T26" i="26"/>
  <c r="T27" i="26"/>
  <c r="T28" i="26"/>
  <c r="T29" i="26"/>
  <c r="T16" i="26"/>
  <c r="S17" i="26"/>
  <c r="S18" i="26"/>
  <c r="S19" i="26"/>
  <c r="S20" i="26"/>
  <c r="S21" i="26"/>
  <c r="S22" i="26"/>
  <c r="S23" i="26"/>
  <c r="S24" i="26"/>
  <c r="S25" i="26"/>
  <c r="S26" i="26"/>
  <c r="S27" i="26"/>
  <c r="S28" i="26"/>
  <c r="S29" i="26"/>
  <c r="S16" i="26"/>
  <c r="T17" i="25"/>
  <c r="T18" i="25"/>
  <c r="T19" i="25"/>
  <c r="T20" i="25"/>
  <c r="T21" i="25"/>
  <c r="T22" i="25"/>
  <c r="X22" i="25" s="1"/>
  <c r="T23" i="25"/>
  <c r="T24" i="25"/>
  <c r="T25" i="25"/>
  <c r="T26" i="25"/>
  <c r="T27" i="25"/>
  <c r="X25" i="25"/>
  <c r="S16" i="25"/>
  <c r="T16" i="25"/>
  <c r="S17" i="25"/>
  <c r="S18" i="25"/>
  <c r="S19" i="25"/>
  <c r="S20" i="25"/>
  <c r="S21" i="25"/>
  <c r="S22" i="25"/>
  <c r="S23" i="25"/>
  <c r="S24" i="25"/>
  <c r="S25" i="25"/>
  <c r="S26" i="25"/>
  <c r="S27" i="25"/>
  <c r="X28" i="24"/>
  <c r="X24" i="24"/>
  <c r="T17" i="24"/>
  <c r="T18" i="24"/>
  <c r="T19" i="24"/>
  <c r="T20" i="24"/>
  <c r="T21" i="24"/>
  <c r="T22" i="24"/>
  <c r="T23" i="24"/>
  <c r="T24" i="24"/>
  <c r="T25" i="24"/>
  <c r="T26" i="24"/>
  <c r="T27" i="24"/>
  <c r="T28" i="24"/>
  <c r="T29" i="24"/>
  <c r="T30" i="24"/>
  <c r="T16" i="24"/>
  <c r="S17" i="24"/>
  <c r="S18" i="24"/>
  <c r="S19" i="24"/>
  <c r="S20" i="24"/>
  <c r="S21" i="24"/>
  <c r="S22" i="24"/>
  <c r="S23" i="24"/>
  <c r="S24" i="24"/>
  <c r="S25" i="24"/>
  <c r="S26" i="24"/>
  <c r="S27" i="24"/>
  <c r="S28" i="24"/>
  <c r="S29" i="24"/>
  <c r="S30" i="24"/>
  <c r="S16" i="24"/>
  <c r="X28" i="23"/>
  <c r="X25" i="23"/>
  <c r="X22" i="23"/>
  <c r="T17" i="23"/>
  <c r="T18" i="23"/>
  <c r="T19" i="23"/>
  <c r="T20" i="23"/>
  <c r="T21" i="23"/>
  <c r="T22" i="23"/>
  <c r="T23" i="23"/>
  <c r="T24" i="23"/>
  <c r="T25" i="23"/>
  <c r="T26" i="23"/>
  <c r="T27" i="23"/>
  <c r="T28" i="23"/>
  <c r="T29" i="23"/>
  <c r="T30" i="23"/>
  <c r="T16" i="23"/>
  <c r="S17" i="23"/>
  <c r="S18" i="23"/>
  <c r="S19" i="23"/>
  <c r="S20" i="23"/>
  <c r="S21" i="23"/>
  <c r="S22" i="23"/>
  <c r="S23" i="23"/>
  <c r="S24" i="23"/>
  <c r="S25" i="23"/>
  <c r="S26" i="23"/>
  <c r="S27" i="23"/>
  <c r="S28" i="23"/>
  <c r="S29" i="23"/>
  <c r="S30" i="23"/>
  <c r="S16" i="23"/>
  <c r="X27" i="22"/>
  <c r="X23" i="22"/>
  <c r="T17" i="22"/>
  <c r="T18" i="22"/>
  <c r="T19" i="22"/>
  <c r="T20" i="22"/>
  <c r="T21" i="22"/>
  <c r="T22" i="22"/>
  <c r="T23" i="22"/>
  <c r="T24" i="22"/>
  <c r="T25" i="22"/>
  <c r="T26" i="22"/>
  <c r="T27" i="22"/>
  <c r="T28" i="22"/>
  <c r="T16" i="22"/>
  <c r="S17" i="22"/>
  <c r="S18" i="22"/>
  <c r="S19" i="22"/>
  <c r="S20" i="22"/>
  <c r="S21" i="22"/>
  <c r="S22" i="22"/>
  <c r="S23" i="22"/>
  <c r="S24" i="22"/>
  <c r="S25" i="22"/>
  <c r="S26" i="22"/>
  <c r="S27" i="22"/>
  <c r="S28" i="22"/>
  <c r="S16" i="22"/>
  <c r="T17" i="21" l="1"/>
  <c r="T18" i="21"/>
  <c r="T19" i="21"/>
  <c r="T20" i="21"/>
  <c r="T21" i="21"/>
  <c r="X21" i="21" s="1"/>
  <c r="T22" i="21"/>
  <c r="T23" i="21"/>
  <c r="T24" i="21"/>
  <c r="T25" i="21"/>
  <c r="T26" i="21"/>
  <c r="T27" i="21"/>
  <c r="T28" i="21"/>
  <c r="T29" i="21"/>
  <c r="T30" i="21"/>
  <c r="X25" i="21"/>
  <c r="T16" i="21"/>
  <c r="X17" i="20"/>
  <c r="S17" i="21"/>
  <c r="S18" i="21"/>
  <c r="S19" i="21"/>
  <c r="S20" i="21"/>
  <c r="S21" i="21"/>
  <c r="S22" i="21"/>
  <c r="S23" i="21"/>
  <c r="S24" i="21"/>
  <c r="S25" i="21"/>
  <c r="S26" i="21"/>
  <c r="S27" i="21"/>
  <c r="S28" i="21"/>
  <c r="S29" i="21"/>
  <c r="S30" i="21"/>
  <c r="S16" i="21"/>
  <c r="T17" i="20"/>
  <c r="T18" i="20"/>
  <c r="T19" i="20"/>
  <c r="T20" i="20"/>
  <c r="T21" i="20"/>
  <c r="X21" i="20" s="1"/>
  <c r="T22" i="20"/>
  <c r="T23" i="20"/>
  <c r="T24" i="20"/>
  <c r="T25" i="20"/>
  <c r="T26" i="20"/>
  <c r="T27" i="20"/>
  <c r="T28" i="20"/>
  <c r="X23" i="20"/>
  <c r="X26" i="20"/>
  <c r="T16" i="20"/>
  <c r="S17" i="20"/>
  <c r="S18" i="20"/>
  <c r="S19" i="20"/>
  <c r="S20" i="20"/>
  <c r="S21" i="20"/>
  <c r="S22" i="20"/>
  <c r="S23" i="20"/>
  <c r="S24" i="20"/>
  <c r="S25" i="20"/>
  <c r="S26" i="20"/>
  <c r="S27" i="20"/>
  <c r="S28" i="20"/>
  <c r="S16" i="20"/>
  <c r="X30" i="8"/>
  <c r="T21" i="8"/>
  <c r="T22" i="8"/>
  <c r="T23" i="8"/>
  <c r="T24" i="8"/>
  <c r="T25" i="8"/>
  <c r="T26" i="8"/>
  <c r="T27" i="8"/>
  <c r="T28" i="8"/>
  <c r="T29" i="8"/>
  <c r="T30" i="8"/>
  <c r="T31" i="8"/>
  <c r="T32" i="8"/>
  <c r="S17" i="8"/>
  <c r="S18" i="8"/>
  <c r="S19" i="8"/>
  <c r="S20" i="8"/>
  <c r="S21" i="8"/>
  <c r="S22" i="8"/>
  <c r="S23" i="8"/>
  <c r="S24" i="8"/>
  <c r="S25" i="8"/>
  <c r="S26" i="8"/>
  <c r="S27" i="8"/>
  <c r="S28" i="8"/>
  <c r="S29" i="8"/>
  <c r="S30" i="8"/>
  <c r="S31" i="8"/>
  <c r="S32" i="8"/>
  <c r="S16" i="8"/>
  <c r="T17" i="8"/>
  <c r="T18" i="8"/>
  <c r="T19" i="8"/>
  <c r="T20" i="8"/>
  <c r="T16" i="8"/>
  <c r="W29" i="52" l="1"/>
  <c r="V29" i="52"/>
  <c r="U29" i="52"/>
  <c r="W29" i="51" l="1"/>
  <c r="V29" i="51"/>
  <c r="U29" i="51"/>
  <c r="W26" i="56"/>
  <c r="V26" i="56"/>
  <c r="U26" i="56"/>
  <c r="AG25" i="55"/>
  <c r="W25" i="55"/>
  <c r="V25" i="55"/>
  <c r="U25" i="55"/>
  <c r="W29" i="54"/>
  <c r="V29" i="54"/>
  <c r="U29" i="54"/>
  <c r="W17" i="54"/>
  <c r="V17" i="54"/>
  <c r="U17" i="54"/>
  <c r="AG17" i="50" l="1"/>
  <c r="W17" i="50"/>
  <c r="V17" i="50"/>
  <c r="U17" i="50"/>
  <c r="W23" i="49"/>
  <c r="V23" i="49"/>
  <c r="U23" i="49"/>
  <c r="W27" i="49"/>
  <c r="V27" i="49"/>
  <c r="U27" i="49"/>
  <c r="W29" i="48"/>
  <c r="V29" i="48"/>
  <c r="U29" i="48"/>
  <c r="AG17" i="48" l="1"/>
  <c r="W17" i="48"/>
  <c r="V17" i="48"/>
  <c r="U17" i="48"/>
  <c r="W16" i="48"/>
  <c r="V16" i="48"/>
  <c r="U16" i="48"/>
  <c r="W26" i="47"/>
  <c r="V26" i="47"/>
  <c r="U26" i="47"/>
  <c r="W29" i="46"/>
  <c r="V29" i="46"/>
  <c r="U29" i="46"/>
  <c r="AG17" i="46"/>
  <c r="W17" i="46"/>
  <c r="V17" i="46"/>
  <c r="U17" i="46"/>
  <c r="W18" i="46"/>
  <c r="V18" i="46"/>
  <c r="U18" i="46"/>
  <c r="AG17" i="44"/>
  <c r="W17" i="44"/>
  <c r="V17" i="44"/>
  <c r="U17" i="44"/>
  <c r="AG17" i="42"/>
  <c r="W17" i="42"/>
  <c r="V17" i="42"/>
  <c r="U17" i="42"/>
  <c r="W27" i="45"/>
  <c r="V27" i="45"/>
  <c r="U27" i="45"/>
  <c r="W24" i="40"/>
  <c r="V24" i="40"/>
  <c r="U24" i="40"/>
  <c r="X16" i="48" l="1"/>
  <c r="Y16" i="48" s="1"/>
  <c r="AG16" i="48" l="1"/>
  <c r="W26" i="39"/>
  <c r="V26" i="39"/>
  <c r="U26" i="39"/>
  <c r="W26" i="38"/>
  <c r="V26" i="38"/>
  <c r="U26" i="38"/>
  <c r="W26" i="32"/>
  <c r="V26" i="32"/>
  <c r="U26" i="32"/>
  <c r="T26" i="32"/>
  <c r="W28" i="31"/>
  <c r="V28" i="31"/>
  <c r="U28" i="31"/>
  <c r="T28" i="31"/>
  <c r="U29" i="30"/>
  <c r="V29" i="30"/>
  <c r="W29" i="30"/>
  <c r="U26" i="30"/>
  <c r="V26" i="30"/>
  <c r="W26" i="30"/>
  <c r="W25" i="29"/>
  <c r="V25" i="29"/>
  <c r="U25" i="29"/>
  <c r="U24" i="29"/>
  <c r="V24" i="29"/>
  <c r="W24" i="29"/>
  <c r="U23" i="28" l="1"/>
  <c r="V23" i="28"/>
  <c r="W23" i="28"/>
  <c r="U27" i="27"/>
  <c r="V27" i="27"/>
  <c r="W27" i="27"/>
  <c r="U22" i="27"/>
  <c r="V22" i="27"/>
  <c r="W22" i="27"/>
  <c r="U23" i="27"/>
  <c r="V23" i="27"/>
  <c r="W23" i="27"/>
  <c r="U24" i="27"/>
  <c r="V24" i="27"/>
  <c r="W24" i="27"/>
  <c r="U28" i="26"/>
  <c r="V28" i="26"/>
  <c r="W28" i="26"/>
  <c r="U27" i="26"/>
  <c r="V27" i="26"/>
  <c r="W27" i="26"/>
  <c r="U24" i="26" l="1"/>
  <c r="V24" i="26"/>
  <c r="W24" i="26"/>
  <c r="U25" i="26"/>
  <c r="V25" i="26"/>
  <c r="W25" i="26"/>
  <c r="U26" i="26"/>
  <c r="V26" i="26"/>
  <c r="W26" i="26"/>
  <c r="U16" i="26"/>
  <c r="V16" i="26"/>
  <c r="W16" i="26"/>
  <c r="W26" i="25"/>
  <c r="V26" i="25"/>
  <c r="U26" i="25"/>
  <c r="U29" i="24"/>
  <c r="V29" i="24"/>
  <c r="W29" i="24"/>
  <c r="U26" i="23"/>
  <c r="V26" i="23"/>
  <c r="W26" i="23"/>
  <c r="U27" i="23"/>
  <c r="V27" i="23"/>
  <c r="W27" i="23"/>
  <c r="U28" i="23"/>
  <c r="V28" i="23"/>
  <c r="W28" i="23"/>
  <c r="U29" i="23"/>
  <c r="V29" i="23"/>
  <c r="W29" i="23"/>
  <c r="U30" i="23"/>
  <c r="V30" i="23"/>
  <c r="W30" i="23"/>
  <c r="X16" i="26" l="1"/>
  <c r="U25" i="22"/>
  <c r="V25" i="22"/>
  <c r="W25" i="22"/>
  <c r="W16" i="22"/>
  <c r="V16" i="22"/>
  <c r="U16" i="22"/>
  <c r="U29" i="21"/>
  <c r="V29" i="21"/>
  <c r="W29" i="21"/>
  <c r="U24" i="20"/>
  <c r="V24" i="20"/>
  <c r="W24" i="20"/>
  <c r="X16" i="22" l="1"/>
  <c r="Y16" i="22" s="1"/>
  <c r="U27" i="20"/>
  <c r="V27" i="20"/>
  <c r="W27" i="20"/>
  <c r="M5" i="36" l="1" a="1"/>
  <c r="M5" i="36" s="1"/>
  <c r="M28" i="33" a="1"/>
  <c r="M28" i="33" s="1"/>
  <c r="W27" i="56"/>
  <c r="V27" i="56"/>
  <c r="U27" i="56"/>
  <c r="W25" i="56"/>
  <c r="V25" i="56"/>
  <c r="U25" i="56"/>
  <c r="W24" i="56"/>
  <c r="V24" i="56"/>
  <c r="U24" i="56"/>
  <c r="W23" i="56"/>
  <c r="V23" i="56"/>
  <c r="U23" i="56"/>
  <c r="W22" i="56"/>
  <c r="V22" i="56"/>
  <c r="U22" i="56"/>
  <c r="W21" i="56"/>
  <c r="V21" i="56"/>
  <c r="U21" i="56"/>
  <c r="W20" i="56"/>
  <c r="V20" i="56"/>
  <c r="U20" i="56"/>
  <c r="W19" i="56"/>
  <c r="V19" i="56"/>
  <c r="U19" i="56"/>
  <c r="AG18" i="56"/>
  <c r="W18" i="56"/>
  <c r="V18" i="56"/>
  <c r="U18" i="56"/>
  <c r="W17" i="56"/>
  <c r="V17" i="56"/>
  <c r="U17" i="56"/>
  <c r="W16" i="56"/>
  <c r="V16" i="56"/>
  <c r="U16" i="56"/>
  <c r="X16" i="56" s="1"/>
  <c r="W26" i="55"/>
  <c r="V26" i="55"/>
  <c r="U26" i="55"/>
  <c r="W24" i="55"/>
  <c r="V24" i="55"/>
  <c r="U24" i="55"/>
  <c r="W23" i="55"/>
  <c r="V23" i="55"/>
  <c r="U23" i="55"/>
  <c r="W22" i="55"/>
  <c r="V22" i="55"/>
  <c r="U22" i="55"/>
  <c r="W21" i="55"/>
  <c r="V21" i="55"/>
  <c r="U21" i="55"/>
  <c r="W20" i="55"/>
  <c r="V20" i="55"/>
  <c r="U20" i="55"/>
  <c r="W19" i="55"/>
  <c r="V19" i="55"/>
  <c r="U19" i="55"/>
  <c r="AG18" i="55"/>
  <c r="W18" i="55"/>
  <c r="V18" i="55"/>
  <c r="U18" i="55"/>
  <c r="W17" i="55"/>
  <c r="V17" i="55"/>
  <c r="U17" i="55"/>
  <c r="W16" i="55"/>
  <c r="V16" i="55"/>
  <c r="U16" i="55"/>
  <c r="W30" i="54"/>
  <c r="V30" i="54"/>
  <c r="U30" i="54"/>
  <c r="W28" i="54"/>
  <c r="V28" i="54"/>
  <c r="U28" i="54"/>
  <c r="W27" i="54"/>
  <c r="V27" i="54"/>
  <c r="U27" i="54"/>
  <c r="W26" i="54"/>
  <c r="V26" i="54"/>
  <c r="U26" i="54"/>
  <c r="W25" i="54"/>
  <c r="V25" i="54"/>
  <c r="U25" i="54"/>
  <c r="W24" i="54"/>
  <c r="V24" i="54"/>
  <c r="U24" i="54"/>
  <c r="W23" i="54"/>
  <c r="V23" i="54"/>
  <c r="U23" i="54"/>
  <c r="W22" i="54"/>
  <c r="V22" i="54"/>
  <c r="U22" i="54"/>
  <c r="W21" i="54"/>
  <c r="V21" i="54"/>
  <c r="U21" i="54"/>
  <c r="AG20" i="54"/>
  <c r="W20" i="54"/>
  <c r="V20" i="54"/>
  <c r="U20" i="54"/>
  <c r="AG19" i="54"/>
  <c r="W19" i="54"/>
  <c r="V19" i="54"/>
  <c r="U19" i="54"/>
  <c r="W18" i="54"/>
  <c r="V18" i="54"/>
  <c r="U18" i="54"/>
  <c r="W16" i="54"/>
  <c r="V16" i="54"/>
  <c r="U16" i="54"/>
  <c r="W28" i="53"/>
  <c r="V28" i="53"/>
  <c r="U28" i="53"/>
  <c r="W27" i="53"/>
  <c r="V27" i="53"/>
  <c r="U27" i="53"/>
  <c r="W26" i="53"/>
  <c r="V26" i="53"/>
  <c r="U26" i="53"/>
  <c r="W25" i="53"/>
  <c r="V25" i="53"/>
  <c r="U25" i="53"/>
  <c r="W24" i="53"/>
  <c r="V24" i="53"/>
  <c r="U24" i="53"/>
  <c r="W23" i="53"/>
  <c r="V23" i="53"/>
  <c r="U23" i="53"/>
  <c r="W22" i="53"/>
  <c r="V22" i="53"/>
  <c r="U22" i="53"/>
  <c r="W21" i="53"/>
  <c r="V21" i="53"/>
  <c r="U21" i="53"/>
  <c r="W20" i="53"/>
  <c r="V20" i="53"/>
  <c r="U20" i="53"/>
  <c r="AG19" i="53"/>
  <c r="W19" i="53"/>
  <c r="V19" i="53"/>
  <c r="U19" i="53"/>
  <c r="AG18" i="53"/>
  <c r="W18" i="53"/>
  <c r="V18" i="53"/>
  <c r="U18" i="53"/>
  <c r="W17" i="53"/>
  <c r="V17" i="53"/>
  <c r="U17" i="53"/>
  <c r="W16" i="53"/>
  <c r="V16" i="53"/>
  <c r="U16" i="53"/>
  <c r="W30" i="52"/>
  <c r="V30" i="52"/>
  <c r="U30" i="52"/>
  <c r="W28" i="52"/>
  <c r="V28" i="52"/>
  <c r="U28" i="52"/>
  <c r="W27" i="52"/>
  <c r="V27" i="52"/>
  <c r="U27" i="52"/>
  <c r="W26" i="52"/>
  <c r="V26" i="52"/>
  <c r="U26" i="52"/>
  <c r="W25" i="52"/>
  <c r="V25" i="52"/>
  <c r="U25" i="52"/>
  <c r="W24" i="52"/>
  <c r="V24" i="52"/>
  <c r="U24" i="52"/>
  <c r="W23" i="52"/>
  <c r="V23" i="52"/>
  <c r="U23" i="52"/>
  <c r="W22" i="52"/>
  <c r="V22" i="52"/>
  <c r="U22" i="52"/>
  <c r="W21" i="52"/>
  <c r="V21" i="52"/>
  <c r="U21" i="52"/>
  <c r="W20" i="52"/>
  <c r="V20" i="52"/>
  <c r="U20" i="52"/>
  <c r="AG19" i="52"/>
  <c r="W19" i="52"/>
  <c r="V19" i="52"/>
  <c r="U19" i="52"/>
  <c r="AG18" i="52"/>
  <c r="W18" i="52"/>
  <c r="V18" i="52"/>
  <c r="U18" i="52"/>
  <c r="W17" i="52"/>
  <c r="V17" i="52"/>
  <c r="U17" i="52"/>
  <c r="W16" i="52"/>
  <c r="V16" i="52"/>
  <c r="U16" i="52"/>
  <c r="X16" i="52" s="1"/>
  <c r="W30" i="51"/>
  <c r="V30" i="51"/>
  <c r="U30" i="51"/>
  <c r="W28" i="51"/>
  <c r="V28" i="51"/>
  <c r="U28" i="51"/>
  <c r="W27" i="51"/>
  <c r="V27" i="51"/>
  <c r="U27" i="51"/>
  <c r="W26" i="51"/>
  <c r="V26" i="51"/>
  <c r="U26" i="51"/>
  <c r="W25" i="51"/>
  <c r="V25" i="51"/>
  <c r="U25" i="51"/>
  <c r="W24" i="51"/>
  <c r="V24" i="51"/>
  <c r="U24" i="51"/>
  <c r="W23" i="51"/>
  <c r="V23" i="51"/>
  <c r="U23" i="51"/>
  <c r="W22" i="51"/>
  <c r="V22" i="51"/>
  <c r="U22" i="51"/>
  <c r="W21" i="51"/>
  <c r="V21" i="51"/>
  <c r="U21" i="51"/>
  <c r="W20" i="51"/>
  <c r="V20" i="51"/>
  <c r="U20" i="51"/>
  <c r="AG19" i="51"/>
  <c r="W19" i="51"/>
  <c r="V19" i="51"/>
  <c r="U19" i="51"/>
  <c r="AG18" i="51"/>
  <c r="W18" i="51"/>
  <c r="V18" i="51"/>
  <c r="U18" i="51"/>
  <c r="W17" i="51"/>
  <c r="V17" i="51"/>
  <c r="U17" i="51"/>
  <c r="W16" i="51"/>
  <c r="V16" i="51"/>
  <c r="U16" i="51"/>
  <c r="W27" i="50"/>
  <c r="V27" i="50"/>
  <c r="U27" i="50"/>
  <c r="W26" i="50"/>
  <c r="V26" i="50"/>
  <c r="U26" i="50"/>
  <c r="W25" i="50"/>
  <c r="V25" i="50"/>
  <c r="U25" i="50"/>
  <c r="W24" i="50"/>
  <c r="V24" i="50"/>
  <c r="U24" i="50"/>
  <c r="W23" i="50"/>
  <c r="V23" i="50"/>
  <c r="U23" i="50"/>
  <c r="W22" i="50"/>
  <c r="V22" i="50"/>
  <c r="U22" i="50"/>
  <c r="W21" i="50"/>
  <c r="V21" i="50"/>
  <c r="U21" i="50"/>
  <c r="AG20" i="50"/>
  <c r="W20" i="50"/>
  <c r="V20" i="50"/>
  <c r="U20" i="50"/>
  <c r="AG19" i="50"/>
  <c r="W19" i="50"/>
  <c r="V19" i="50"/>
  <c r="U19" i="50"/>
  <c r="W18" i="50"/>
  <c r="V18" i="50"/>
  <c r="U18" i="50"/>
  <c r="W16" i="50"/>
  <c r="V16" i="50"/>
  <c r="U16" i="50"/>
  <c r="X16" i="50" s="1"/>
  <c r="W28" i="49"/>
  <c r="V28" i="49"/>
  <c r="U28" i="49"/>
  <c r="W26" i="49"/>
  <c r="V26" i="49"/>
  <c r="U26" i="49"/>
  <c r="W25" i="49"/>
  <c r="V25" i="49"/>
  <c r="U25" i="49"/>
  <c r="W24" i="49"/>
  <c r="V24" i="49"/>
  <c r="U24" i="49"/>
  <c r="W22" i="49"/>
  <c r="V22" i="49"/>
  <c r="U22" i="49"/>
  <c r="W21" i="49"/>
  <c r="V21" i="49"/>
  <c r="U21" i="49"/>
  <c r="W20" i="49"/>
  <c r="V20" i="49"/>
  <c r="U20" i="49"/>
  <c r="W19" i="49"/>
  <c r="V19" i="49"/>
  <c r="U19" i="49"/>
  <c r="AG18" i="49"/>
  <c r="W18" i="49"/>
  <c r="V18" i="49"/>
  <c r="U18" i="49"/>
  <c r="W17" i="49"/>
  <c r="V17" i="49"/>
  <c r="U17" i="49"/>
  <c r="W16" i="49"/>
  <c r="V16" i="49"/>
  <c r="U16" i="49"/>
  <c r="W30" i="48"/>
  <c r="V30" i="48"/>
  <c r="U30" i="48"/>
  <c r="W28" i="48"/>
  <c r="V28" i="48"/>
  <c r="U28" i="48"/>
  <c r="W27" i="48"/>
  <c r="V27" i="48"/>
  <c r="U27" i="48"/>
  <c r="W26" i="48"/>
  <c r="V26" i="48"/>
  <c r="U26" i="48"/>
  <c r="W25" i="48"/>
  <c r="V25" i="48"/>
  <c r="U25" i="48"/>
  <c r="W24" i="48"/>
  <c r="V24" i="48"/>
  <c r="U24" i="48"/>
  <c r="W23" i="48"/>
  <c r="V23" i="48"/>
  <c r="U23" i="48"/>
  <c r="W22" i="48"/>
  <c r="V22" i="48"/>
  <c r="U22" i="48"/>
  <c r="W21" i="48"/>
  <c r="V21" i="48"/>
  <c r="U21" i="48"/>
  <c r="AG20" i="48"/>
  <c r="W20" i="48"/>
  <c r="V20" i="48"/>
  <c r="U20" i="48"/>
  <c r="AG19" i="48"/>
  <c r="W19" i="48"/>
  <c r="V19" i="48"/>
  <c r="U19" i="48"/>
  <c r="W18" i="48"/>
  <c r="V18" i="48"/>
  <c r="U18" i="48"/>
  <c r="W27" i="47"/>
  <c r="V27" i="47"/>
  <c r="U27" i="47"/>
  <c r="W25" i="47"/>
  <c r="V25" i="47"/>
  <c r="U25" i="47"/>
  <c r="W24" i="47"/>
  <c r="V24" i="47"/>
  <c r="U24" i="47"/>
  <c r="W23" i="47"/>
  <c r="V23" i="47"/>
  <c r="U23" i="47"/>
  <c r="W22" i="47"/>
  <c r="V22" i="47"/>
  <c r="U22" i="47"/>
  <c r="W21" i="47"/>
  <c r="V21" i="47"/>
  <c r="U21" i="47"/>
  <c r="W20" i="47"/>
  <c r="V20" i="47"/>
  <c r="U20" i="47"/>
  <c r="W19" i="47"/>
  <c r="V19" i="47"/>
  <c r="U19" i="47"/>
  <c r="AG18" i="47"/>
  <c r="W18" i="47"/>
  <c r="V18" i="47"/>
  <c r="U18" i="47"/>
  <c r="W17" i="47"/>
  <c r="V17" i="47"/>
  <c r="U17" i="47"/>
  <c r="W16" i="47"/>
  <c r="V16" i="47"/>
  <c r="U16" i="47"/>
  <c r="W30" i="46"/>
  <c r="V30" i="46"/>
  <c r="U30" i="46"/>
  <c r="W28" i="46"/>
  <c r="V28" i="46"/>
  <c r="U28" i="46"/>
  <c r="W27" i="46"/>
  <c r="V27" i="46"/>
  <c r="U27" i="46"/>
  <c r="W26" i="46"/>
  <c r="V26" i="46"/>
  <c r="U26" i="46"/>
  <c r="W25" i="46"/>
  <c r="V25" i="46"/>
  <c r="U25" i="46"/>
  <c r="W24" i="46"/>
  <c r="V24" i="46"/>
  <c r="U24" i="46"/>
  <c r="W23" i="46"/>
  <c r="V23" i="46"/>
  <c r="U23" i="46"/>
  <c r="W22" i="46"/>
  <c r="V22" i="46"/>
  <c r="U22" i="46"/>
  <c r="W21" i="46"/>
  <c r="V21" i="46"/>
  <c r="U21" i="46"/>
  <c r="X21" i="46" s="1"/>
  <c r="AG20" i="46"/>
  <c r="W20" i="46"/>
  <c r="V20" i="46"/>
  <c r="U20" i="46"/>
  <c r="W19" i="46"/>
  <c r="V19" i="46"/>
  <c r="U19" i="46"/>
  <c r="W16" i="46"/>
  <c r="V16" i="46"/>
  <c r="U16" i="46"/>
  <c r="W28" i="45"/>
  <c r="V28" i="45"/>
  <c r="U28" i="45"/>
  <c r="W26" i="45"/>
  <c r="V26" i="45"/>
  <c r="U26" i="45"/>
  <c r="W25" i="45"/>
  <c r="V25" i="45"/>
  <c r="U25" i="45"/>
  <c r="W24" i="45"/>
  <c r="V24" i="45"/>
  <c r="U24" i="45"/>
  <c r="W23" i="45"/>
  <c r="V23" i="45"/>
  <c r="U23" i="45"/>
  <c r="W22" i="45"/>
  <c r="V22" i="45"/>
  <c r="U22" i="45"/>
  <c r="W21" i="45"/>
  <c r="V21" i="45"/>
  <c r="U21" i="45"/>
  <c r="W20" i="45"/>
  <c r="V20" i="45"/>
  <c r="U20" i="45"/>
  <c r="W19" i="45"/>
  <c r="V19" i="45"/>
  <c r="U19" i="45"/>
  <c r="AG18" i="45"/>
  <c r="W18" i="45"/>
  <c r="V18" i="45"/>
  <c r="U18" i="45"/>
  <c r="W17" i="45"/>
  <c r="V17" i="45"/>
  <c r="U17" i="45"/>
  <c r="W16" i="45"/>
  <c r="V16" i="45"/>
  <c r="U16" i="45"/>
  <c r="W29" i="44"/>
  <c r="V29" i="44"/>
  <c r="U29" i="44"/>
  <c r="W28" i="44"/>
  <c r="V28" i="44"/>
  <c r="U28" i="44"/>
  <c r="W27" i="44"/>
  <c r="V27" i="44"/>
  <c r="U27" i="44"/>
  <c r="W26" i="44"/>
  <c r="V26" i="44"/>
  <c r="U26" i="44"/>
  <c r="W25" i="44"/>
  <c r="V25" i="44"/>
  <c r="U25" i="44"/>
  <c r="W24" i="44"/>
  <c r="V24" i="44"/>
  <c r="U24" i="44"/>
  <c r="W23" i="44"/>
  <c r="V23" i="44"/>
  <c r="U23" i="44"/>
  <c r="W22" i="44"/>
  <c r="V22" i="44"/>
  <c r="U22" i="44"/>
  <c r="W21" i="44"/>
  <c r="V21" i="44"/>
  <c r="U21" i="44"/>
  <c r="AG20" i="44"/>
  <c r="W20" i="44"/>
  <c r="V20" i="44"/>
  <c r="U20" i="44"/>
  <c r="AG19" i="44"/>
  <c r="W19" i="44"/>
  <c r="V19" i="44"/>
  <c r="U19" i="44"/>
  <c r="W18" i="44"/>
  <c r="V18" i="44"/>
  <c r="U18" i="44"/>
  <c r="W16" i="44"/>
  <c r="V16" i="44"/>
  <c r="U16" i="44"/>
  <c r="W26" i="43"/>
  <c r="V26" i="43"/>
  <c r="U26" i="43"/>
  <c r="W25" i="43"/>
  <c r="V25" i="43"/>
  <c r="U25" i="43"/>
  <c r="W24" i="43"/>
  <c r="V24" i="43"/>
  <c r="U24" i="43"/>
  <c r="W23" i="43"/>
  <c r="V23" i="43"/>
  <c r="U23" i="43"/>
  <c r="W22" i="43"/>
  <c r="V22" i="43"/>
  <c r="U22" i="43"/>
  <c r="W21" i="43"/>
  <c r="V21" i="43"/>
  <c r="U21" i="43"/>
  <c r="W20" i="43"/>
  <c r="V20" i="43"/>
  <c r="U20" i="43"/>
  <c r="W19" i="43"/>
  <c r="V19" i="43"/>
  <c r="U19" i="43"/>
  <c r="AG18" i="43"/>
  <c r="W18" i="43"/>
  <c r="V18" i="43"/>
  <c r="U18" i="43"/>
  <c r="W17" i="43"/>
  <c r="V17" i="43"/>
  <c r="U17" i="43"/>
  <c r="W16" i="43"/>
  <c r="V16" i="43"/>
  <c r="U16" i="43"/>
  <c r="W25" i="42"/>
  <c r="V25" i="42"/>
  <c r="U25" i="42"/>
  <c r="W24" i="42"/>
  <c r="V24" i="42"/>
  <c r="U24" i="42"/>
  <c r="W23" i="42"/>
  <c r="V23" i="42"/>
  <c r="U23" i="42"/>
  <c r="W22" i="42"/>
  <c r="V22" i="42"/>
  <c r="U22" i="42"/>
  <c r="W21" i="42"/>
  <c r="V21" i="42"/>
  <c r="U21" i="42"/>
  <c r="W20" i="42"/>
  <c r="V20" i="42"/>
  <c r="U20" i="42"/>
  <c r="AG19" i="42"/>
  <c r="W19" i="42"/>
  <c r="V19" i="42"/>
  <c r="U19" i="42"/>
  <c r="W18" i="42"/>
  <c r="V18" i="42"/>
  <c r="U18" i="42"/>
  <c r="W16" i="42"/>
  <c r="V16" i="42"/>
  <c r="U16" i="42"/>
  <c r="W25" i="40"/>
  <c r="V25" i="40"/>
  <c r="U25" i="40"/>
  <c r="W23" i="40"/>
  <c r="V23" i="40"/>
  <c r="U23" i="40"/>
  <c r="W22" i="40"/>
  <c r="V22" i="40"/>
  <c r="U22" i="40"/>
  <c r="W21" i="40"/>
  <c r="V21" i="40"/>
  <c r="U21" i="40"/>
  <c r="W20" i="40"/>
  <c r="V20" i="40"/>
  <c r="U20" i="40"/>
  <c r="W19" i="40"/>
  <c r="V19" i="40"/>
  <c r="U19" i="40"/>
  <c r="AG18" i="40"/>
  <c r="W18" i="40"/>
  <c r="V18" i="40"/>
  <c r="U18" i="40"/>
  <c r="W17" i="40"/>
  <c r="V17" i="40"/>
  <c r="U17" i="40"/>
  <c r="W16" i="40"/>
  <c r="V16" i="40"/>
  <c r="U16" i="40"/>
  <c r="W27" i="39"/>
  <c r="V27" i="39"/>
  <c r="U27" i="39"/>
  <c r="W25" i="39"/>
  <c r="V25" i="39"/>
  <c r="U25" i="39"/>
  <c r="W24" i="39"/>
  <c r="V24" i="39"/>
  <c r="U24" i="39"/>
  <c r="W23" i="39"/>
  <c r="V23" i="39"/>
  <c r="U23" i="39"/>
  <c r="W22" i="39"/>
  <c r="V22" i="39"/>
  <c r="U22" i="39"/>
  <c r="W21" i="39"/>
  <c r="V21" i="39"/>
  <c r="U21" i="39"/>
  <c r="W20" i="39"/>
  <c r="V20" i="39"/>
  <c r="U20" i="39"/>
  <c r="W19" i="39"/>
  <c r="V19" i="39"/>
  <c r="U19" i="39"/>
  <c r="AG18" i="39"/>
  <c r="W18" i="39"/>
  <c r="V18" i="39"/>
  <c r="U18" i="39"/>
  <c r="W17" i="39"/>
  <c r="V17" i="39"/>
  <c r="U17" i="39"/>
  <c r="W16" i="39"/>
  <c r="V16" i="39"/>
  <c r="U16" i="39"/>
  <c r="W27" i="38"/>
  <c r="V27" i="38"/>
  <c r="U27" i="38"/>
  <c r="W25" i="38"/>
  <c r="V25" i="38"/>
  <c r="U25" i="38"/>
  <c r="W24" i="38"/>
  <c r="V24" i="38"/>
  <c r="U24" i="38"/>
  <c r="W23" i="38"/>
  <c r="V23" i="38"/>
  <c r="U23" i="38"/>
  <c r="W22" i="38"/>
  <c r="V22" i="38"/>
  <c r="U22" i="38"/>
  <c r="W21" i="38"/>
  <c r="V21" i="38"/>
  <c r="U21" i="38"/>
  <c r="W20" i="38"/>
  <c r="V20" i="38"/>
  <c r="U20" i="38"/>
  <c r="W19" i="38"/>
  <c r="V19" i="38"/>
  <c r="U19" i="38"/>
  <c r="AG18" i="38"/>
  <c r="W18" i="38"/>
  <c r="V18" i="38"/>
  <c r="U18" i="38"/>
  <c r="W17" i="38"/>
  <c r="V17" i="38"/>
  <c r="U17" i="38"/>
  <c r="W16" i="38"/>
  <c r="V16" i="38"/>
  <c r="U16" i="38"/>
  <c r="W28" i="37"/>
  <c r="V28" i="37"/>
  <c r="U28" i="37"/>
  <c r="W27" i="37"/>
  <c r="V27" i="37"/>
  <c r="U27" i="37"/>
  <c r="W26" i="37"/>
  <c r="V26" i="37"/>
  <c r="U26" i="37"/>
  <c r="W25" i="37"/>
  <c r="V25" i="37"/>
  <c r="U25" i="37"/>
  <c r="W24" i="37"/>
  <c r="V24" i="37"/>
  <c r="U24" i="37"/>
  <c r="W23" i="37"/>
  <c r="V23" i="37"/>
  <c r="U23" i="37"/>
  <c r="W22" i="37"/>
  <c r="V22" i="37"/>
  <c r="U22" i="37"/>
  <c r="W21" i="37"/>
  <c r="V21" i="37"/>
  <c r="U21" i="37"/>
  <c r="W20" i="37"/>
  <c r="V20" i="37"/>
  <c r="U20" i="37"/>
  <c r="W19" i="37"/>
  <c r="V19" i="37"/>
  <c r="U19" i="37"/>
  <c r="AG18" i="37"/>
  <c r="W18" i="37"/>
  <c r="V18" i="37"/>
  <c r="U18" i="37"/>
  <c r="W17" i="37"/>
  <c r="V17" i="37"/>
  <c r="U17" i="37"/>
  <c r="W16" i="37"/>
  <c r="V16" i="37"/>
  <c r="U16" i="37"/>
  <c r="F2" i="36"/>
  <c r="U27" i="30"/>
  <c r="V27" i="30"/>
  <c r="W27" i="30"/>
  <c r="U30" i="30"/>
  <c r="V30" i="30"/>
  <c r="W30" i="30"/>
  <c r="W28" i="30"/>
  <c r="V28" i="30"/>
  <c r="U28" i="30"/>
  <c r="X16" i="38" l="1"/>
  <c r="Y17" i="38" s="1"/>
  <c r="Y19" i="38" s="1"/>
  <c r="Y22" i="38" s="1"/>
  <c r="Y25" i="38" s="1"/>
  <c r="X17" i="52"/>
  <c r="AG17" i="52" s="1"/>
  <c r="X16" i="47"/>
  <c r="AG16" i="47" s="1"/>
  <c r="X19" i="46"/>
  <c r="AG19" i="46" s="1"/>
  <c r="X16" i="46"/>
  <c r="X16" i="44"/>
  <c r="AG16" i="44" s="1"/>
  <c r="X16" i="43"/>
  <c r="Y16" i="43" s="1"/>
  <c r="X16" i="37"/>
  <c r="Y17" i="37" s="1"/>
  <c r="Y19" i="37" s="1"/>
  <c r="Y23" i="37" s="1"/>
  <c r="AG17" i="43"/>
  <c r="AG18" i="42"/>
  <c r="AG17" i="37"/>
  <c r="Y17" i="52"/>
  <c r="Y20" i="52" s="1"/>
  <c r="Y24" i="52" s="1"/>
  <c r="Y28" i="52" s="1"/>
  <c r="Y17" i="51"/>
  <c r="Y20" i="51" s="1"/>
  <c r="Y24" i="51" s="1"/>
  <c r="Y28" i="51" s="1"/>
  <c r="AG17" i="56"/>
  <c r="AG17" i="55"/>
  <c r="AG18" i="54"/>
  <c r="Y18" i="54"/>
  <c r="Y21" i="54" s="1"/>
  <c r="Y25" i="54" s="1"/>
  <c r="Y28" i="54" s="1"/>
  <c r="AG17" i="53"/>
  <c r="AG18" i="50"/>
  <c r="AG17" i="49"/>
  <c r="Y18" i="48"/>
  <c r="AG17" i="47"/>
  <c r="AG17" i="45"/>
  <c r="Y16" i="40"/>
  <c r="AG17" i="39"/>
  <c r="AG17" i="38"/>
  <c r="Y17" i="56"/>
  <c r="Y19" i="56" s="1"/>
  <c r="Y22" i="56" s="1"/>
  <c r="Y25" i="56" s="1"/>
  <c r="Y17" i="53"/>
  <c r="Y20" i="53" s="1"/>
  <c r="Y23" i="53" s="1"/>
  <c r="Y27" i="53" s="1"/>
  <c r="AG16" i="50"/>
  <c r="AG16" i="49"/>
  <c r="X24" i="48"/>
  <c r="AG18" i="44"/>
  <c r="Y17" i="45"/>
  <c r="Y19" i="45" s="1"/>
  <c r="F6" i="36"/>
  <c r="E6" i="36" s="1"/>
  <c r="F34" i="36"/>
  <c r="E34" i="36" s="1"/>
  <c r="F35" i="36"/>
  <c r="E35" i="36" s="1"/>
  <c r="F33" i="36"/>
  <c r="E33" i="36" s="1"/>
  <c r="Y16" i="55"/>
  <c r="AG17" i="51"/>
  <c r="AG17" i="40"/>
  <c r="AG16" i="39"/>
  <c r="Y18" i="42"/>
  <c r="Y20" i="42" s="1"/>
  <c r="Y22" i="42" s="1"/>
  <c r="Y24" i="42" s="1"/>
  <c r="AG16" i="42"/>
  <c r="Y16" i="42"/>
  <c r="F5" i="36"/>
  <c r="E5" i="36" s="1"/>
  <c r="F17" i="36"/>
  <c r="E17" i="36" s="1"/>
  <c r="F16" i="36"/>
  <c r="E16" i="36" s="1"/>
  <c r="F4" i="36"/>
  <c r="E4" i="36" s="1"/>
  <c r="F3" i="36"/>
  <c r="F15" i="36"/>
  <c r="E15" i="36" s="1"/>
  <c r="F26" i="36"/>
  <c r="E26" i="36" s="1"/>
  <c r="F14" i="36"/>
  <c r="E14" i="36" s="1"/>
  <c r="F25" i="36"/>
  <c r="E25" i="36" s="1"/>
  <c r="F13" i="36"/>
  <c r="E13" i="36" s="1"/>
  <c r="F32" i="36"/>
  <c r="E32" i="36" s="1"/>
  <c r="F24" i="36"/>
  <c r="E24" i="36" s="1"/>
  <c r="F12" i="36"/>
  <c r="E12" i="36" s="1"/>
  <c r="F31" i="36"/>
  <c r="E31" i="36" s="1"/>
  <c r="F23" i="36"/>
  <c r="E23" i="36" s="1"/>
  <c r="F11" i="36"/>
  <c r="E11" i="36" s="1"/>
  <c r="F30" i="36"/>
  <c r="E30" i="36" s="1"/>
  <c r="F22" i="36"/>
  <c r="E22" i="36" s="1"/>
  <c r="F10" i="36"/>
  <c r="E10" i="36" s="1"/>
  <c r="F29" i="36"/>
  <c r="E29" i="36" s="1"/>
  <c r="F21" i="36"/>
  <c r="E21" i="36" s="1"/>
  <c r="F9" i="36"/>
  <c r="E9" i="36" s="1"/>
  <c r="F28" i="36"/>
  <c r="E28" i="36" s="1"/>
  <c r="F20" i="36"/>
  <c r="E20" i="36" s="1"/>
  <c r="F8" i="36"/>
  <c r="E8" i="36" s="1"/>
  <c r="F27" i="36"/>
  <c r="E27" i="36" s="1"/>
  <c r="F19" i="36"/>
  <c r="E19" i="36" s="1"/>
  <c r="F7" i="36"/>
  <c r="E7" i="36" s="1"/>
  <c r="F18" i="36"/>
  <c r="E18" i="36" s="1"/>
  <c r="U16" i="24"/>
  <c r="V16" i="24"/>
  <c r="W16" i="24"/>
  <c r="U16" i="23"/>
  <c r="V16" i="23"/>
  <c r="W16" i="23"/>
  <c r="Y16" i="56" l="1"/>
  <c r="Z16" i="56" s="1"/>
  <c r="AG16" i="56"/>
  <c r="Y21" i="48"/>
  <c r="Y24" i="48" s="1"/>
  <c r="Y19" i="46"/>
  <c r="Y18" i="44"/>
  <c r="Y21" i="44" s="1"/>
  <c r="Y24" i="44" s="1"/>
  <c r="Y28" i="44" s="1"/>
  <c r="L6" i="42"/>
  <c r="AG16" i="40"/>
  <c r="Y17" i="40"/>
  <c r="Y19" i="40" s="1"/>
  <c r="Y21" i="40" s="1"/>
  <c r="Y23" i="40" s="1"/>
  <c r="Y16" i="44"/>
  <c r="Z16" i="44" s="1"/>
  <c r="Y16" i="46"/>
  <c r="AG16" i="46"/>
  <c r="Y16" i="53"/>
  <c r="AG16" i="53"/>
  <c r="AG16" i="38"/>
  <c r="Y16" i="38"/>
  <c r="Z16" i="38" s="1"/>
  <c r="AG16" i="37"/>
  <c r="Y16" i="52"/>
  <c r="Z16" i="52" s="1"/>
  <c r="AG16" i="52"/>
  <c r="Y16" i="51"/>
  <c r="AG16" i="51"/>
  <c r="Y18" i="50"/>
  <c r="Y21" i="50" s="1"/>
  <c r="Y23" i="50" s="1"/>
  <c r="Y26" i="50" s="1"/>
  <c r="Y16" i="50"/>
  <c r="Z16" i="50" s="1"/>
  <c r="Y17" i="49"/>
  <c r="Y19" i="49" s="1"/>
  <c r="Y22" i="49" s="1"/>
  <c r="Y26" i="49" s="1"/>
  <c r="Y16" i="49"/>
  <c r="AG18" i="48"/>
  <c r="Y21" i="46"/>
  <c r="Y24" i="46" s="1"/>
  <c r="Y28" i="46" s="1"/>
  <c r="Y22" i="45"/>
  <c r="Y26" i="45" s="1"/>
  <c r="Y16" i="45"/>
  <c r="AG16" i="45"/>
  <c r="Y16" i="37"/>
  <c r="Z16" i="37" s="1"/>
  <c r="Y27" i="37"/>
  <c r="Y17" i="55"/>
  <c r="Y19" i="55" s="1"/>
  <c r="Y21" i="55" s="1"/>
  <c r="Y24" i="55" s="1"/>
  <c r="AG16" i="55"/>
  <c r="AG16" i="54"/>
  <c r="Y16" i="54"/>
  <c r="Y16" i="47"/>
  <c r="Y17" i="47"/>
  <c r="Y19" i="47" s="1"/>
  <c r="Y22" i="47" s="1"/>
  <c r="Y25" i="47" s="1"/>
  <c r="AG18" i="46"/>
  <c r="Y17" i="43"/>
  <c r="Y19" i="43" s="1"/>
  <c r="Y22" i="43" s="1"/>
  <c r="Y25" i="43" s="1"/>
  <c r="AG16" i="43"/>
  <c r="Y17" i="39"/>
  <c r="Y19" i="39" s="1"/>
  <c r="Y22" i="39" s="1"/>
  <c r="Y25" i="39" s="1"/>
  <c r="Y16" i="39"/>
  <c r="Z16" i="39" s="1"/>
  <c r="E3" i="36"/>
  <c r="W27" i="32"/>
  <c r="V27" i="32"/>
  <c r="U27" i="32"/>
  <c r="T27" i="32"/>
  <c r="W25" i="32"/>
  <c r="V25" i="32"/>
  <c r="U25" i="32"/>
  <c r="T25" i="32"/>
  <c r="W24" i="32"/>
  <c r="V24" i="32"/>
  <c r="U24" i="32"/>
  <c r="T24" i="32"/>
  <c r="W23" i="32"/>
  <c r="V23" i="32"/>
  <c r="U23" i="32"/>
  <c r="T23" i="32"/>
  <c r="W22" i="32"/>
  <c r="V22" i="32"/>
  <c r="U22" i="32"/>
  <c r="T22" i="32"/>
  <c r="W21" i="32"/>
  <c r="V21" i="32"/>
  <c r="U21" i="32"/>
  <c r="T21" i="32"/>
  <c r="W20" i="32"/>
  <c r="V20" i="32"/>
  <c r="U20" i="32"/>
  <c r="T20" i="32"/>
  <c r="W19" i="32"/>
  <c r="V19" i="32"/>
  <c r="U19" i="32"/>
  <c r="T19" i="32"/>
  <c r="AG18" i="32"/>
  <c r="W18" i="32"/>
  <c r="V18" i="32"/>
  <c r="U18" i="32"/>
  <c r="T18" i="32"/>
  <c r="W17" i="32"/>
  <c r="V17" i="32"/>
  <c r="U17" i="32"/>
  <c r="T17" i="32"/>
  <c r="W16" i="32"/>
  <c r="V16" i="32"/>
  <c r="U16" i="32"/>
  <c r="T16" i="32"/>
  <c r="W29" i="31"/>
  <c r="V29" i="31"/>
  <c r="U29" i="31"/>
  <c r="T29" i="31"/>
  <c r="W27" i="31"/>
  <c r="V27" i="31"/>
  <c r="U27" i="31"/>
  <c r="T27" i="31"/>
  <c r="W26" i="31"/>
  <c r="V26" i="31"/>
  <c r="U26" i="31"/>
  <c r="T26" i="31"/>
  <c r="W25" i="31"/>
  <c r="V25" i="31"/>
  <c r="U25" i="31"/>
  <c r="T25" i="31"/>
  <c r="W24" i="31"/>
  <c r="V24" i="31"/>
  <c r="U24" i="31"/>
  <c r="T24" i="31"/>
  <c r="W23" i="31"/>
  <c r="V23" i="31"/>
  <c r="U23" i="31"/>
  <c r="T23" i="31"/>
  <c r="W22" i="31"/>
  <c r="V22" i="31"/>
  <c r="U22" i="31"/>
  <c r="T22" i="31"/>
  <c r="W21" i="31"/>
  <c r="V21" i="31"/>
  <c r="U21" i="31"/>
  <c r="T21" i="31"/>
  <c r="W20" i="31"/>
  <c r="V20" i="31"/>
  <c r="U20" i="31"/>
  <c r="T20" i="31"/>
  <c r="W19" i="31"/>
  <c r="V19" i="31"/>
  <c r="U19" i="31"/>
  <c r="T19" i="31"/>
  <c r="AG18" i="31"/>
  <c r="W18" i="31"/>
  <c r="V18" i="31"/>
  <c r="U18" i="31"/>
  <c r="T18" i="31"/>
  <c r="W17" i="31"/>
  <c r="V17" i="31"/>
  <c r="U17" i="31"/>
  <c r="T17" i="31"/>
  <c r="W16" i="31"/>
  <c r="V16" i="31"/>
  <c r="U16" i="31"/>
  <c r="W25" i="30"/>
  <c r="V25" i="30"/>
  <c r="U25" i="30"/>
  <c r="W24" i="30"/>
  <c r="V24" i="30"/>
  <c r="U24" i="30"/>
  <c r="W23" i="30"/>
  <c r="V23" i="30"/>
  <c r="U23" i="30"/>
  <c r="W22" i="30"/>
  <c r="V22" i="30"/>
  <c r="U22" i="30"/>
  <c r="W21" i="30"/>
  <c r="V21" i="30"/>
  <c r="U21" i="30"/>
  <c r="X21" i="30" s="1"/>
  <c r="AG20" i="30"/>
  <c r="W20" i="30"/>
  <c r="V20" i="30"/>
  <c r="U20" i="30"/>
  <c r="AG19" i="30"/>
  <c r="W19" i="30"/>
  <c r="V19" i="30"/>
  <c r="U19" i="30"/>
  <c r="AG18" i="30"/>
  <c r="W18" i="30"/>
  <c r="V18" i="30"/>
  <c r="U18" i="30"/>
  <c r="W17" i="30"/>
  <c r="V17" i="30"/>
  <c r="U17" i="30"/>
  <c r="W16" i="30"/>
  <c r="V16" i="30"/>
  <c r="U16" i="30"/>
  <c r="W26" i="29"/>
  <c r="V26" i="29"/>
  <c r="U26" i="29"/>
  <c r="W23" i="29"/>
  <c r="V23" i="29"/>
  <c r="U23" i="29"/>
  <c r="W22" i="29"/>
  <c r="V22" i="29"/>
  <c r="U22" i="29"/>
  <c r="W21" i="29"/>
  <c r="V21" i="29"/>
  <c r="U21" i="29"/>
  <c r="W20" i="29"/>
  <c r="V20" i="29"/>
  <c r="U20" i="29"/>
  <c r="W19" i="29"/>
  <c r="V19" i="29"/>
  <c r="U19" i="29"/>
  <c r="AG18" i="29"/>
  <c r="W18" i="29"/>
  <c r="V18" i="29"/>
  <c r="U18" i="29"/>
  <c r="W17" i="29"/>
  <c r="V17" i="29"/>
  <c r="U17" i="29"/>
  <c r="W16" i="29"/>
  <c r="V16" i="29"/>
  <c r="U16" i="29"/>
  <c r="W27" i="28"/>
  <c r="V27" i="28"/>
  <c r="U27" i="28"/>
  <c r="W26" i="28"/>
  <c r="V26" i="28"/>
  <c r="U26" i="28"/>
  <c r="W25" i="28"/>
  <c r="V25" i="28"/>
  <c r="U25" i="28"/>
  <c r="W24" i="28"/>
  <c r="V24" i="28"/>
  <c r="U24" i="28"/>
  <c r="W22" i="28"/>
  <c r="V22" i="28"/>
  <c r="U22" i="28"/>
  <c r="W21" i="28"/>
  <c r="V21" i="28"/>
  <c r="U21" i="28"/>
  <c r="W20" i="28"/>
  <c r="V20" i="28"/>
  <c r="U20" i="28"/>
  <c r="W19" i="28"/>
  <c r="V19" i="28"/>
  <c r="U19" i="28"/>
  <c r="AG18" i="28"/>
  <c r="W18" i="28"/>
  <c r="V18" i="28"/>
  <c r="U18" i="28"/>
  <c r="W17" i="28"/>
  <c r="V17" i="28"/>
  <c r="U17" i="28"/>
  <c r="W16" i="28"/>
  <c r="V16" i="28"/>
  <c r="U16" i="28"/>
  <c r="X16" i="28" s="1"/>
  <c r="W28" i="27"/>
  <c r="V28" i="27"/>
  <c r="U28" i="27"/>
  <c r="W26" i="27"/>
  <c r="V26" i="27"/>
  <c r="U26" i="27"/>
  <c r="W25" i="27"/>
  <c r="V25" i="27"/>
  <c r="U25" i="27"/>
  <c r="W21" i="27"/>
  <c r="V21" i="27"/>
  <c r="U21" i="27"/>
  <c r="W20" i="27"/>
  <c r="V20" i="27"/>
  <c r="U20" i="27"/>
  <c r="AG19" i="27"/>
  <c r="W19" i="27"/>
  <c r="V19" i="27"/>
  <c r="U19" i="27"/>
  <c r="AG18" i="27"/>
  <c r="W18" i="27"/>
  <c r="V18" i="27"/>
  <c r="U18" i="27"/>
  <c r="W17" i="27"/>
  <c r="V17" i="27"/>
  <c r="U17" i="27"/>
  <c r="W16" i="27"/>
  <c r="V16" i="27"/>
  <c r="U16" i="27"/>
  <c r="X16" i="27" s="1"/>
  <c r="W29" i="26"/>
  <c r="V29" i="26"/>
  <c r="U29" i="26"/>
  <c r="W23" i="26"/>
  <c r="V23" i="26"/>
  <c r="U23" i="26"/>
  <c r="W22" i="26"/>
  <c r="V22" i="26"/>
  <c r="U22" i="26"/>
  <c r="W21" i="26"/>
  <c r="V21" i="26"/>
  <c r="U21" i="26"/>
  <c r="W20" i="26"/>
  <c r="V20" i="26"/>
  <c r="U20" i="26"/>
  <c r="W19" i="26"/>
  <c r="V19" i="26"/>
  <c r="U19" i="26"/>
  <c r="X19" i="26" s="1"/>
  <c r="AG18" i="26"/>
  <c r="W18" i="26"/>
  <c r="V18" i="26"/>
  <c r="U18" i="26"/>
  <c r="W17" i="26"/>
  <c r="V17" i="26"/>
  <c r="U17" i="26"/>
  <c r="W27" i="25"/>
  <c r="V27" i="25"/>
  <c r="U27" i="25"/>
  <c r="W25" i="25"/>
  <c r="V25" i="25"/>
  <c r="U25" i="25"/>
  <c r="W24" i="25"/>
  <c r="V24" i="25"/>
  <c r="U24" i="25"/>
  <c r="W23" i="25"/>
  <c r="V23" i="25"/>
  <c r="U23" i="25"/>
  <c r="W22" i="25"/>
  <c r="V22" i="25"/>
  <c r="U22" i="25"/>
  <c r="W21" i="25"/>
  <c r="V21" i="25"/>
  <c r="U21" i="25"/>
  <c r="W20" i="25"/>
  <c r="V20" i="25"/>
  <c r="U20" i="25"/>
  <c r="W19" i="25"/>
  <c r="V19" i="25"/>
  <c r="U19" i="25"/>
  <c r="AG18" i="25"/>
  <c r="W18" i="25"/>
  <c r="V18" i="25"/>
  <c r="U18" i="25"/>
  <c r="W17" i="25"/>
  <c r="V17" i="25"/>
  <c r="U17" i="25"/>
  <c r="W16" i="25"/>
  <c r="V16" i="25"/>
  <c r="U16" i="25"/>
  <c r="W30" i="24"/>
  <c r="V30" i="24"/>
  <c r="U30" i="24"/>
  <c r="W28" i="24"/>
  <c r="V28" i="24"/>
  <c r="U28" i="24"/>
  <c r="W27" i="24"/>
  <c r="V27" i="24"/>
  <c r="U27" i="24"/>
  <c r="W26" i="24"/>
  <c r="V26" i="24"/>
  <c r="U26" i="24"/>
  <c r="W25" i="24"/>
  <c r="V25" i="24"/>
  <c r="U25" i="24"/>
  <c r="W24" i="24"/>
  <c r="V24" i="24"/>
  <c r="U24" i="24"/>
  <c r="W23" i="24"/>
  <c r="V23" i="24"/>
  <c r="U23" i="24"/>
  <c r="W22" i="24"/>
  <c r="V22" i="24"/>
  <c r="U22" i="24"/>
  <c r="W21" i="24"/>
  <c r="V21" i="24"/>
  <c r="U21" i="24"/>
  <c r="W20" i="24"/>
  <c r="V20" i="24"/>
  <c r="U20" i="24"/>
  <c r="AG19" i="24"/>
  <c r="W19" i="24"/>
  <c r="V19" i="24"/>
  <c r="U19" i="24"/>
  <c r="W18" i="24"/>
  <c r="V18" i="24"/>
  <c r="U18" i="24"/>
  <c r="X18" i="24" s="1"/>
  <c r="W17" i="24"/>
  <c r="V17" i="24"/>
  <c r="U17" i="24"/>
  <c r="W25" i="23"/>
  <c r="V25" i="23"/>
  <c r="U25" i="23"/>
  <c r="W24" i="23"/>
  <c r="V24" i="23"/>
  <c r="U24" i="23"/>
  <c r="W23" i="23"/>
  <c r="V23" i="23"/>
  <c r="U23" i="23"/>
  <c r="W22" i="23"/>
  <c r="V22" i="23"/>
  <c r="U22" i="23"/>
  <c r="AG21" i="23"/>
  <c r="W21" i="23"/>
  <c r="V21" i="23"/>
  <c r="U21" i="23"/>
  <c r="AG20" i="23"/>
  <c r="W20" i="23"/>
  <c r="V20" i="23"/>
  <c r="U20" i="23"/>
  <c r="AG19" i="23"/>
  <c r="W19" i="23"/>
  <c r="V19" i="23"/>
  <c r="U19" i="23"/>
  <c r="W18" i="23"/>
  <c r="V18" i="23"/>
  <c r="U18" i="23"/>
  <c r="W17" i="23"/>
  <c r="V17" i="23"/>
  <c r="U17" i="23"/>
  <c r="W28" i="22"/>
  <c r="V28" i="22"/>
  <c r="U28" i="22"/>
  <c r="W27" i="22"/>
  <c r="V27" i="22"/>
  <c r="U27" i="22"/>
  <c r="W26" i="22"/>
  <c r="V26" i="22"/>
  <c r="U26" i="22"/>
  <c r="W24" i="22"/>
  <c r="V24" i="22"/>
  <c r="U24" i="22"/>
  <c r="W23" i="22"/>
  <c r="V23" i="22"/>
  <c r="U23" i="22"/>
  <c r="W22" i="22"/>
  <c r="V22" i="22"/>
  <c r="U22" i="22"/>
  <c r="W21" i="22"/>
  <c r="V21" i="22"/>
  <c r="U21" i="22"/>
  <c r="W20" i="22"/>
  <c r="V20" i="22"/>
  <c r="U20" i="22"/>
  <c r="AG19" i="22"/>
  <c r="AG18" i="22"/>
  <c r="W19" i="22"/>
  <c r="V19" i="22"/>
  <c r="U19" i="22"/>
  <c r="AG17" i="22"/>
  <c r="W18" i="22"/>
  <c r="V18" i="22"/>
  <c r="U18" i="22"/>
  <c r="W17" i="22"/>
  <c r="V17" i="22"/>
  <c r="U17" i="22"/>
  <c r="W30" i="21"/>
  <c r="V30" i="21"/>
  <c r="U30" i="21"/>
  <c r="W28" i="21"/>
  <c r="V28" i="21"/>
  <c r="U28" i="21"/>
  <c r="W27" i="21"/>
  <c r="V27" i="21"/>
  <c r="U27" i="21"/>
  <c r="W26" i="21"/>
  <c r="V26" i="21"/>
  <c r="U26" i="21"/>
  <c r="W25" i="21"/>
  <c r="V25" i="21"/>
  <c r="U25" i="21"/>
  <c r="W24" i="21"/>
  <c r="V24" i="21"/>
  <c r="U24" i="21"/>
  <c r="W23" i="21"/>
  <c r="V23" i="21"/>
  <c r="U23" i="21"/>
  <c r="W22" i="21"/>
  <c r="V22" i="21"/>
  <c r="U22" i="21"/>
  <c r="W21" i="21"/>
  <c r="V21" i="21"/>
  <c r="U21" i="21"/>
  <c r="AG20" i="21"/>
  <c r="W20" i="21"/>
  <c r="V20" i="21"/>
  <c r="U20" i="21"/>
  <c r="AG19" i="21"/>
  <c r="W19" i="21"/>
  <c r="V19" i="21"/>
  <c r="U19" i="21"/>
  <c r="AG18" i="21"/>
  <c r="W18" i="21"/>
  <c r="V18" i="21"/>
  <c r="U18" i="21"/>
  <c r="W17" i="21"/>
  <c r="V17" i="21"/>
  <c r="U17" i="21"/>
  <c r="W16" i="21"/>
  <c r="V16" i="21"/>
  <c r="U16" i="21"/>
  <c r="W28" i="20"/>
  <c r="V28" i="20"/>
  <c r="U28" i="20"/>
  <c r="W26" i="20"/>
  <c r="V26" i="20"/>
  <c r="U26" i="20"/>
  <c r="W25" i="20"/>
  <c r="V25" i="20"/>
  <c r="U25" i="20"/>
  <c r="W23" i="20"/>
  <c r="V23" i="20"/>
  <c r="U23" i="20"/>
  <c r="W22" i="20"/>
  <c r="V22" i="20"/>
  <c r="U22" i="20"/>
  <c r="W21" i="20"/>
  <c r="V21" i="20"/>
  <c r="U21" i="20"/>
  <c r="AG20" i="20"/>
  <c r="W20" i="20"/>
  <c r="V20" i="20"/>
  <c r="U20" i="20"/>
  <c r="AG19" i="20"/>
  <c r="W19" i="20"/>
  <c r="V19" i="20"/>
  <c r="U19" i="20"/>
  <c r="AG18" i="20"/>
  <c r="W18" i="20"/>
  <c r="V18" i="20"/>
  <c r="U18" i="20"/>
  <c r="W17" i="20"/>
  <c r="V17" i="20"/>
  <c r="U17" i="20"/>
  <c r="W16" i="20"/>
  <c r="V16" i="20"/>
  <c r="U16" i="20"/>
  <c r="L6" i="56" l="1"/>
  <c r="D35" i="36" s="1"/>
  <c r="O60" i="33" s="1"/>
  <c r="L6" i="54"/>
  <c r="M6" i="54" s="1"/>
  <c r="L6" i="53"/>
  <c r="M6" i="53" s="1"/>
  <c r="L6" i="52"/>
  <c r="D31" i="36" s="1"/>
  <c r="O56" i="33" s="1"/>
  <c r="L6" i="51"/>
  <c r="M6" i="51" s="1"/>
  <c r="L6" i="49"/>
  <c r="M6" i="49" s="1"/>
  <c r="Z16" i="47"/>
  <c r="L6" i="47" s="1"/>
  <c r="M6" i="47" s="1"/>
  <c r="Z16" i="46"/>
  <c r="Z16" i="43"/>
  <c r="L6" i="43" s="1"/>
  <c r="D23" i="36" s="1"/>
  <c r="L6" i="44"/>
  <c r="O49" i="33" s="1"/>
  <c r="L6" i="45"/>
  <c r="O46" i="33" s="1"/>
  <c r="L6" i="40"/>
  <c r="O45" i="33" s="1"/>
  <c r="L6" i="38"/>
  <c r="L6" i="37"/>
  <c r="O42" i="33" s="1"/>
  <c r="X17" i="30"/>
  <c r="AG17" i="30" s="1"/>
  <c r="X16" i="29"/>
  <c r="X17" i="29"/>
  <c r="AG17" i="29" s="1"/>
  <c r="X17" i="28"/>
  <c r="AG17" i="28" s="1"/>
  <c r="X17" i="27"/>
  <c r="AG17" i="27" s="1"/>
  <c r="X17" i="26"/>
  <c r="AG17" i="26" s="1"/>
  <c r="X19" i="25"/>
  <c r="X17" i="25"/>
  <c r="AG17" i="25" s="1"/>
  <c r="X16" i="25"/>
  <c r="X20" i="24"/>
  <c r="X17" i="24"/>
  <c r="AG17" i="24" s="1"/>
  <c r="X18" i="23"/>
  <c r="AG18" i="23" s="1"/>
  <c r="X17" i="23"/>
  <c r="X20" i="22"/>
  <c r="X17" i="22"/>
  <c r="X17" i="21"/>
  <c r="AG17" i="21" s="1"/>
  <c r="X29" i="21"/>
  <c r="X16" i="21"/>
  <c r="Y16" i="21" s="1"/>
  <c r="AG17" i="20"/>
  <c r="X16" i="20"/>
  <c r="O47" i="33"/>
  <c r="M6" i="42"/>
  <c r="AG17" i="31"/>
  <c r="Y28" i="48"/>
  <c r="Z16" i="48" s="1"/>
  <c r="Y16" i="28"/>
  <c r="Y16" i="26"/>
  <c r="AG16" i="26"/>
  <c r="AG18" i="24"/>
  <c r="AG17" i="32"/>
  <c r="Y16" i="25"/>
  <c r="AG16" i="30"/>
  <c r="AG16" i="27"/>
  <c r="Y16" i="29"/>
  <c r="D18" i="36" l="1"/>
  <c r="O43" i="33" s="1"/>
  <c r="M6" i="56"/>
  <c r="L6" i="55"/>
  <c r="M6" i="55" s="1"/>
  <c r="D33" i="36"/>
  <c r="O58" i="33" s="1"/>
  <c r="D32" i="36"/>
  <c r="O57" i="33" s="1"/>
  <c r="M6" i="52"/>
  <c r="D30" i="36"/>
  <c r="O55" i="33" s="1"/>
  <c r="L6" i="50"/>
  <c r="M6" i="50" s="1"/>
  <c r="D28" i="36"/>
  <c r="O53" i="33" s="1"/>
  <c r="L6" i="48"/>
  <c r="M6" i="48" s="1"/>
  <c r="L6" i="46"/>
  <c r="M6" i="46" s="1"/>
  <c r="M6" i="44"/>
  <c r="M6" i="45"/>
  <c r="M6" i="40"/>
  <c r="L6" i="39"/>
  <c r="O44" i="33" s="1"/>
  <c r="M6" i="38"/>
  <c r="M6" i="37"/>
  <c r="Y17" i="25"/>
  <c r="Y19" i="25" s="1"/>
  <c r="Y22" i="25" s="1"/>
  <c r="Y25" i="25" s="1"/>
  <c r="O48" i="33"/>
  <c r="M6" i="43"/>
  <c r="Y18" i="23"/>
  <c r="Y22" i="23" s="1"/>
  <c r="Y25" i="23" s="1"/>
  <c r="Y28" i="23" s="1"/>
  <c r="AG16" i="32"/>
  <c r="Y16" i="32"/>
  <c r="D26" i="36"/>
  <c r="O51" i="33" s="1"/>
  <c r="Y17" i="31"/>
  <c r="Y19" i="31" s="1"/>
  <c r="Y23" i="31" s="1"/>
  <c r="Y27" i="31" s="1"/>
  <c r="Y17" i="26"/>
  <c r="Y19" i="26" s="1"/>
  <c r="Y22" i="26" s="1"/>
  <c r="Y26" i="26" s="1"/>
  <c r="Y18" i="24"/>
  <c r="Y20" i="24" s="1"/>
  <c r="Y24" i="24" s="1"/>
  <c r="Y28" i="24" s="1"/>
  <c r="Y16" i="30"/>
  <c r="Y17" i="29"/>
  <c r="AG16" i="29"/>
  <c r="Y17" i="24"/>
  <c r="Y17" i="22"/>
  <c r="Y17" i="21"/>
  <c r="AG16" i="21"/>
  <c r="Y17" i="32"/>
  <c r="Y19" i="32" s="1"/>
  <c r="Y22" i="32" s="1"/>
  <c r="Y25" i="32" s="1"/>
  <c r="AG16" i="31"/>
  <c r="Y16" i="31"/>
  <c r="AG16" i="28"/>
  <c r="Y17" i="28"/>
  <c r="Y19" i="28" s="1"/>
  <c r="Y22" i="28" s="1"/>
  <c r="Y25" i="28" s="1"/>
  <c r="Y17" i="27"/>
  <c r="Y20" i="27" s="1"/>
  <c r="Y23" i="27" s="1"/>
  <c r="Y26" i="27" s="1"/>
  <c r="Y16" i="27"/>
  <c r="Z16" i="27" s="1"/>
  <c r="AG16" i="25"/>
  <c r="Y17" i="23"/>
  <c r="AG17" i="23"/>
  <c r="Y17" i="20"/>
  <c r="Y21" i="20" s="1"/>
  <c r="Y23" i="20" s="1"/>
  <c r="Y26" i="20" s="1"/>
  <c r="Y16" i="20"/>
  <c r="AG16" i="20"/>
  <c r="D34" i="36" l="1"/>
  <c r="O59" i="33" s="1"/>
  <c r="D29" i="36"/>
  <c r="O54" i="33" s="1"/>
  <c r="D27" i="36"/>
  <c r="O52" i="33" s="1"/>
  <c r="D25" i="36"/>
  <c r="O50" i="33" s="1"/>
  <c r="M6" i="39"/>
  <c r="Y17" i="30"/>
  <c r="Y21" i="30" s="1"/>
  <c r="Y24" i="30" s="1"/>
  <c r="Y28" i="30" s="1"/>
  <c r="Z16" i="28"/>
  <c r="Z16" i="26"/>
  <c r="L6" i="26" s="1"/>
  <c r="Z16" i="25"/>
  <c r="L6" i="25" s="1"/>
  <c r="Z17" i="24"/>
  <c r="L6" i="24" s="1"/>
  <c r="Z17" i="23"/>
  <c r="L6" i="23" s="1"/>
  <c r="Y20" i="22"/>
  <c r="Y23" i="22" s="1"/>
  <c r="Y27" i="22" s="1"/>
  <c r="Y21" i="21"/>
  <c r="Y25" i="21" s="1"/>
  <c r="Y29" i="21" s="1"/>
  <c r="Z16" i="20"/>
  <c r="L6" i="20" s="1"/>
  <c r="M6" i="20" s="1"/>
  <c r="Y19" i="29"/>
  <c r="Y22" i="29" s="1"/>
  <c r="Y24" i="29" s="1"/>
  <c r="U27" i="8"/>
  <c r="V27" i="8"/>
  <c r="W27" i="8"/>
  <c r="U28" i="8"/>
  <c r="V28" i="8"/>
  <c r="W28" i="8"/>
  <c r="U29" i="8"/>
  <c r="V29" i="8"/>
  <c r="W29" i="8"/>
  <c r="U30" i="8"/>
  <c r="V30" i="8"/>
  <c r="W30" i="8"/>
  <c r="U31" i="8"/>
  <c r="V31" i="8"/>
  <c r="W31" i="8"/>
  <c r="U32" i="8"/>
  <c r="V32" i="8"/>
  <c r="W32" i="8"/>
  <c r="D10" i="36" l="1"/>
  <c r="O35" i="33" s="1"/>
  <c r="Z16" i="22"/>
  <c r="L6" i="22" s="1"/>
  <c r="D6" i="36" s="1"/>
  <c r="O31" i="33" s="1"/>
  <c r="L6" i="32"/>
  <c r="O41" i="33" s="1"/>
  <c r="L6" i="31"/>
  <c r="O40" i="33" s="1"/>
  <c r="Z16" i="30"/>
  <c r="L6" i="30" s="1"/>
  <c r="O39" i="33" s="1"/>
  <c r="Z16" i="29"/>
  <c r="L6" i="29" s="1"/>
  <c r="L6" i="28"/>
  <c r="O37" i="33" s="1"/>
  <c r="L6" i="27"/>
  <c r="O36" i="33" s="1"/>
  <c r="M6" i="26"/>
  <c r="M6" i="25"/>
  <c r="O34" i="33"/>
  <c r="M6" i="24"/>
  <c r="O33" i="33"/>
  <c r="M6" i="23"/>
  <c r="O32" i="33"/>
  <c r="Z16" i="21"/>
  <c r="L6" i="21" s="1"/>
  <c r="X27" i="8"/>
  <c r="D4" i="36"/>
  <c r="O29" i="33" s="1"/>
  <c r="U21" i="8"/>
  <c r="V21" i="8"/>
  <c r="W21" i="8"/>
  <c r="U22" i="8"/>
  <c r="V22" i="8"/>
  <c r="W22" i="8"/>
  <c r="U23" i="8"/>
  <c r="V23" i="8"/>
  <c r="W23" i="8"/>
  <c r="U24" i="8"/>
  <c r="V24" i="8"/>
  <c r="W24" i="8"/>
  <c r="U25" i="8"/>
  <c r="V25" i="8"/>
  <c r="W25" i="8"/>
  <c r="U26" i="8"/>
  <c r="V26" i="8"/>
  <c r="W26" i="8"/>
  <c r="M6" i="21" l="1"/>
  <c r="D5" i="36"/>
  <c r="M6" i="22"/>
  <c r="M6" i="32"/>
  <c r="M6" i="31"/>
  <c r="M6" i="30"/>
  <c r="M6" i="29"/>
  <c r="O38" i="33"/>
  <c r="M6" i="28"/>
  <c r="M6" i="27"/>
  <c r="O30" i="33"/>
  <c r="X21" i="8"/>
  <c r="U17" i="8"/>
  <c r="V17" i="8"/>
  <c r="W17" i="8"/>
  <c r="U18" i="8"/>
  <c r="V18" i="8"/>
  <c r="W18" i="8"/>
  <c r="U19" i="8"/>
  <c r="V19" i="8"/>
  <c r="W19" i="8"/>
  <c r="U20" i="8"/>
  <c r="V20" i="8"/>
  <c r="AG20" i="8" s="1"/>
  <c r="W20" i="8"/>
  <c r="W16" i="8"/>
  <c r="V16" i="8"/>
  <c r="U16" i="8"/>
  <c r="X16" i="8" l="1"/>
  <c r="X17" i="8"/>
  <c r="AG19" i="8"/>
  <c r="AG18" i="8"/>
  <c r="Y16" i="8" l="1"/>
  <c r="Y17" i="8"/>
  <c r="Y21" i="8" s="1"/>
  <c r="AG17" i="8"/>
  <c r="AG16" i="8"/>
  <c r="Y27" i="8" l="1"/>
  <c r="Y30" i="8" s="1"/>
  <c r="Z16" i="8" l="1"/>
  <c r="L6" i="8" s="1"/>
  <c r="M6" i="8" s="1"/>
  <c r="D3" i="36" l="1"/>
  <c r="O28" i="3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<sst xmlns="http://schemas.openxmlformats.org/spreadsheetml/2006/main" count="2237" uniqueCount="1178">
  <si>
    <t>0.1</t>
  </si>
  <si>
    <t>Version:</t>
  </si>
  <si>
    <t>Umsetzungsgrad</t>
  </si>
  <si>
    <t>Umsetzung</t>
  </si>
  <si>
    <t>Antwort</t>
  </si>
  <si>
    <t>Vollständig</t>
  </si>
  <si>
    <t>In den meisten Fällen</t>
  </si>
  <si>
    <t>In ein Paar Fällen</t>
  </si>
  <si>
    <t>Gar nicht</t>
  </si>
  <si>
    <t>0% - 15%</t>
  </si>
  <si>
    <t>&gt;15% - 50%</t>
  </si>
  <si>
    <t>&gt;50% - 85%</t>
  </si>
  <si>
    <t>&gt;85% - 100%</t>
  </si>
  <si>
    <t>Beschreibung</t>
  </si>
  <si>
    <t>Zur Identifikation der Reifegrade werden spezifische Fragestellungen definiert. Die Antwortmöglichkeiten spiegeln den Umsetzungsgrad des jeweiligen Prüfkriterium wieder. Basierend auf der Konsolidierung der Antworten wird der Reifegrad des betrachteten Prozessbereich identifiziert. Das methodische Basismodell zur Identifikation der Reifegrade ist die Normreihe ISO/IEC 330xx.</t>
  </si>
  <si>
    <t>Es gibt keinen Nachweis für die Erreichung des Prüfkriteriums.</t>
  </si>
  <si>
    <t>Es gibt signifikante Anzeichen für die Erreichung des Prüfkriteriums.</t>
  </si>
  <si>
    <t>Es gibt einen vollständigen Nachweis für die Erreichung des Prüfkriteriums.</t>
  </si>
  <si>
    <t>Name der Organisation:</t>
  </si>
  <si>
    <t>Ausfüllhinweise zum Reifegradmodell</t>
  </si>
  <si>
    <t>Beschreibung der Reifegradstufen:</t>
  </si>
  <si>
    <t>Reifegradstufe</t>
  </si>
  <si>
    <t>Um eine inhaltliche Abgrenzung zwischen den jeweiligen Reifegradstufen zu ermöglichen, werden Schlüsselwörter verwendet. Diese werden nachfolgend erläutert.</t>
  </si>
  <si>
    <t>Beschreibung der Schlüsselwörter:</t>
  </si>
  <si>
    <t>Schlüsselwort</t>
  </si>
  <si>
    <t>Situativ/Ad-Hoc</t>
  </si>
  <si>
    <t>Gelegentlich</t>
  </si>
  <si>
    <t>Regelmäßig</t>
  </si>
  <si>
    <t>Beschreibung der Antwortmöglichkeiten</t>
  </si>
  <si>
    <t>/</t>
  </si>
  <si>
    <t>Basispraktiken</t>
  </si>
  <si>
    <t>Arbeitsprodukte</t>
  </si>
  <si>
    <t>Reifegrad</t>
  </si>
  <si>
    <t>Erhebung der Reifegrade</t>
  </si>
  <si>
    <t>Zu Reifegrad</t>
  </si>
  <si>
    <t>Listenindex</t>
  </si>
  <si>
    <t>Reifegrad:</t>
  </si>
  <si>
    <t>Kontrollfrage</t>
  </si>
  <si>
    <t>Kommentar/Hinweis</t>
  </si>
  <si>
    <r>
      <t xml:space="preserve">Die Reifegrade werden anhand der jeweiligen Antwort ermittelt. Eine Erläuterung des Aufbaus der Reifegrade und der Antwortmöglichkeiten finden Sie in den </t>
    </r>
    <r>
      <rPr>
        <b/>
        <sz val="11"/>
        <color rgb="FF00B0F0"/>
        <rFont val="Arial"/>
        <family val="2"/>
      </rPr>
      <t>Ausfüllhinweisen</t>
    </r>
    <r>
      <rPr>
        <sz val="11"/>
        <color theme="1"/>
        <rFont val="Arial"/>
        <family val="2"/>
      </rPr>
      <t>.</t>
    </r>
  </si>
  <si>
    <t>Kürzel</t>
  </si>
  <si>
    <t>Antwortrahmen</t>
  </si>
  <si>
    <t>Bitte auswählen</t>
  </si>
  <si>
    <t>Nicht anwendbar</t>
  </si>
  <si>
    <t>Ergebnis</t>
  </si>
  <si>
    <t>Zw. Ergebnis</t>
  </si>
  <si>
    <t>Link</t>
  </si>
  <si>
    <t>Erläuterung der Erhebungsblätter</t>
  </si>
  <si>
    <r>
      <t xml:space="preserve">Finden </t>
    </r>
    <r>
      <rPr>
        <b/>
        <sz val="10"/>
        <rFont val="Arial"/>
        <family val="2"/>
      </rPr>
      <t>regelmäßige</t>
    </r>
    <r>
      <rPr>
        <sz val="10"/>
        <color theme="1"/>
        <rFont val="Arial"/>
        <family val="2"/>
      </rPr>
      <t xml:space="preserve"> Abstimmungen mit allen relevanten Stakeholdern statt?</t>
    </r>
  </si>
  <si>
    <t>Erhebung der Reifegrade:</t>
  </si>
  <si>
    <t>Weitere Informationen anzeigen lassen:</t>
  </si>
  <si>
    <t>Ablauf der Erhebung:</t>
  </si>
  <si>
    <t>Wie die Reifegrade berechnet werden:</t>
  </si>
  <si>
    <t>Überblick der Tabellenblätter:</t>
  </si>
  <si>
    <t>Erhebung durchgeführt von:</t>
  </si>
  <si>
    <t>Visualisiertes Ergebnis der Reifegraderhebung:</t>
  </si>
  <si>
    <t>Ergebnis in Tabellenform:</t>
  </si>
  <si>
    <t>Versionshistorie:</t>
  </si>
  <si>
    <t>Datum</t>
  </si>
  <si>
    <t>Bearbeiter</t>
  </si>
  <si>
    <t>Version</t>
  </si>
  <si>
    <t>Initiale Erstellung</t>
  </si>
  <si>
    <t>Legende:</t>
  </si>
  <si>
    <r>
      <rPr>
        <b/>
        <sz val="11"/>
        <color theme="1"/>
        <rFont val="Arial"/>
        <family val="2"/>
      </rPr>
      <t>Erstellt durch</t>
    </r>
    <r>
      <rPr>
        <sz val="11"/>
        <color theme="1"/>
        <rFont val="Arial"/>
        <family val="2"/>
      </rPr>
      <t>:</t>
    </r>
  </si>
  <si>
    <t>Hier klicken</t>
  </si>
  <si>
    <t>Letzte Änderung:</t>
  </si>
  <si>
    <t>Interpretation/Bedeutung</t>
  </si>
  <si>
    <t>Abnahmekriterien</t>
  </si>
  <si>
    <t>Der Prozess wird anlassbezogen durchgeführt und beispielsweise durch externe Trigger angestoßen.</t>
  </si>
  <si>
    <t>Der Prozess wird zwar wiederholt durchgeführt, jedoch ohne fest definiertes Intervall.</t>
  </si>
  <si>
    <t>Der Prozess wird in einem fest definierten Intervall durchgeführt.</t>
  </si>
  <si>
    <t>Es bestehen teilweise Anzeichen für die Erreichung des Prüfkriteriums.</t>
  </si>
  <si>
    <t>Kontinuierlich verbessert</t>
  </si>
  <si>
    <t>Regelmäßig 
überprüft</t>
  </si>
  <si>
    <t>Die Einhaltung der fest definierten Intervalle wird mit Hilfe von Kennzahlen gesteuert.</t>
  </si>
  <si>
    <t>Der Prozess wird durch die durchführenden Mitarbeiter kontinuierlich verbessert.</t>
  </si>
  <si>
    <t>Herr/Frau Beispiel</t>
  </si>
  <si>
    <t>Soll-Reifegrad</t>
  </si>
  <si>
    <t>Angestrebtes Ziel:</t>
  </si>
  <si>
    <t>Änderung je nach Auswahl im Dropdown des Dashboard-Menüs</t>
  </si>
  <si>
    <t>Ist-Reifegrad</t>
  </si>
  <si>
    <t>Datum der Durchführung:</t>
  </si>
  <si>
    <t>Beispiel GmbH</t>
  </si>
  <si>
    <t>Reifegradmodell für die Technische Dokumentation</t>
  </si>
  <si>
    <t>Christian Koch</t>
  </si>
  <si>
    <t>Willkommen zum Reifegradmodell für die Technische Dokumentation</t>
  </si>
  <si>
    <t>TD1.1</t>
  </si>
  <si>
    <t>TD1.2</t>
  </si>
  <si>
    <t>Informationsbeschaffung</t>
  </si>
  <si>
    <t>TD1.3</t>
  </si>
  <si>
    <t>Interne Zusammenarbeit</t>
  </si>
  <si>
    <t>TD1.4</t>
  </si>
  <si>
    <t>Externe Zusammenarbeit</t>
  </si>
  <si>
    <t>TD1.5</t>
  </si>
  <si>
    <t>TD1.6</t>
  </si>
  <si>
    <t>Rechtskonformität</t>
  </si>
  <si>
    <t>Qualitätssicherung</t>
  </si>
  <si>
    <t>TD2.1</t>
  </si>
  <si>
    <t>Dokumentationsstrukturierung</t>
  </si>
  <si>
    <t>TD2.2</t>
  </si>
  <si>
    <t>Variantenmanagement</t>
  </si>
  <si>
    <t>TD2.3</t>
  </si>
  <si>
    <t>Metadatenmanagement</t>
  </si>
  <si>
    <t>TD2.4</t>
  </si>
  <si>
    <t>Terminologiemanagement</t>
  </si>
  <si>
    <t>TD2.5</t>
  </si>
  <si>
    <t>Übersetzungsmanagement</t>
  </si>
  <si>
    <t>TD2.6</t>
  </si>
  <si>
    <t>Versionierung</t>
  </si>
  <si>
    <t>TD2.7</t>
  </si>
  <si>
    <t>Ablage und Archivierung</t>
  </si>
  <si>
    <t>TD3.1</t>
  </si>
  <si>
    <t>Publikation und Verwaltung</t>
  </si>
  <si>
    <t>TD3.2</t>
  </si>
  <si>
    <t>Zugriffsmanagement</t>
  </si>
  <si>
    <t>TD3.3</t>
  </si>
  <si>
    <t>TD3.4</t>
  </si>
  <si>
    <t>TD4.1</t>
  </si>
  <si>
    <t>Zielgruppenkenntnis</t>
  </si>
  <si>
    <t>TD4.2</t>
  </si>
  <si>
    <t>Nutzerzentrierung</t>
  </si>
  <si>
    <t>TD4.3</t>
  </si>
  <si>
    <t>TD4.4</t>
  </si>
  <si>
    <t>Feedbackintegration</t>
  </si>
  <si>
    <t>Wissensspeicherung</t>
  </si>
  <si>
    <t>Services</t>
  </si>
  <si>
    <t>Ziele</t>
  </si>
  <si>
    <t>intial</t>
  </si>
  <si>
    <t>Einzelfertigung</t>
  </si>
  <si>
    <t>Variantenfertigung</t>
  </si>
  <si>
    <t>Serienfertigung</t>
  </si>
  <si>
    <t>Massenfertigung</t>
  </si>
  <si>
    <t>OG1.1</t>
  </si>
  <si>
    <t>OG1.2</t>
  </si>
  <si>
    <t>OG2.1</t>
  </si>
  <si>
    <t>OG2.2</t>
  </si>
  <si>
    <t>OG3.1</t>
  </si>
  <si>
    <t>OG3.2</t>
  </si>
  <si>
    <t>Technische Redaktion</t>
  </si>
  <si>
    <t>Stellenwert der technischen Dokumentation in der Organisation</t>
  </si>
  <si>
    <t>Kulturelle Verankerung</t>
  </si>
  <si>
    <t>Interne Schnittstellen</t>
  </si>
  <si>
    <t>Externe Schnittstellen</t>
  </si>
  <si>
    <t>Aktualität</t>
  </si>
  <si>
    <t>Zugänglichkeit der Dokumentation</t>
  </si>
  <si>
    <t>Redaktionelle IT-Infrastruktur</t>
  </si>
  <si>
    <t>Organisationale IT-Infrastruktur</t>
  </si>
  <si>
    <t>Digitalisierung der Produkte</t>
  </si>
  <si>
    <t>TD2.8</t>
  </si>
  <si>
    <t>OG2.3</t>
  </si>
  <si>
    <t>OG4.1</t>
  </si>
  <si>
    <t>OG4.2</t>
  </si>
  <si>
    <t>OG4.3</t>
  </si>
  <si>
    <t>OG4.4</t>
  </si>
  <si>
    <t>Redaktionsprozess - Informationsbeschaffung</t>
  </si>
  <si>
    <t>Redaktionsprozess - Interne Zusammenarbeit</t>
  </si>
  <si>
    <t>Redaktionsprozess - Externe Zusammenarbeit</t>
  </si>
  <si>
    <t>Redaktionsprozess - Rechtskonformität</t>
  </si>
  <si>
    <t>Redaktionsprozess - Qualitätssicherung</t>
  </si>
  <si>
    <t>Content Management - Dokumentationsstrukturierung</t>
  </si>
  <si>
    <t>Content Management - Variantenmanagement</t>
  </si>
  <si>
    <t>Content Management - Metadatenmanagement</t>
  </si>
  <si>
    <t>Content Management - Terminologiemanagement</t>
  </si>
  <si>
    <t>Content Management - Übersetzungsmanagement</t>
  </si>
  <si>
    <t>Content Management - Aktualität</t>
  </si>
  <si>
    <t>Content Management - Versionierung</t>
  </si>
  <si>
    <t>Content Management - Ablage und Archivierung</t>
  </si>
  <si>
    <t>Content Delivery - Publikation und Verwaltung</t>
  </si>
  <si>
    <t>Content Delivery - Zugriffsmanagement</t>
  </si>
  <si>
    <t>Content Delivery - Zugänglichkeit der Dokumentation</t>
  </si>
  <si>
    <t>Zielgruppenorientierung - Zielgruppenkenntnis</t>
  </si>
  <si>
    <t>Zielgruppenorientierung - Nutzerzentrierung</t>
  </si>
  <si>
    <t>Zielgruppenorientierung - Nutzerfreundlichkeit</t>
  </si>
  <si>
    <t>Zielgruppenorientierung - Feedbackintegration</t>
  </si>
  <si>
    <t>Wissensmanagement - Wissensspeicherung</t>
  </si>
  <si>
    <t>Wissensmanagement - Services</t>
  </si>
  <si>
    <t>Organisationale Verankerung der technischen Dokumentation - Technische Redaktion</t>
  </si>
  <si>
    <t>Organisationale Verankerung der technischen Dokumentation - Stellenwert der technischen Dokumentation</t>
  </si>
  <si>
    <t>Organisationale Verankerung der technischen Dokumentation - Kulturelle Verankerung</t>
  </si>
  <si>
    <t>Schnittstellen - Interne Schnittstellen</t>
  </si>
  <si>
    <t>Schnittstellen - Externe Schnittstellen</t>
  </si>
  <si>
    <t>Technologische Infrastruktur - Redaktionelle IT-Infrastruktur</t>
  </si>
  <si>
    <t>Technologische Infrastruktur - Organisationale IT-Infrastruktur</t>
  </si>
  <si>
    <t>Technologische Infrastruktur - Digitalisierung der Produkte</t>
  </si>
  <si>
    <r>
      <t xml:space="preserve">Jeder Untersuchungsgegenstand  hat ein eigenes Erhebungsblatt. Die Erhebungsblätter sind nicht voneinander abhängig und können auch einzeln bearbeitet werden. Die Erhebungsblätter sind je nach Art kategorisiert:
</t>
    </r>
    <r>
      <rPr>
        <b/>
        <sz val="11"/>
        <color theme="8"/>
        <rFont val="Arial"/>
        <family val="2"/>
      </rPr>
      <t xml:space="preserve">  Blau: Technische Dokumentation (TD)</t>
    </r>
    <r>
      <rPr>
        <sz val="11"/>
        <color theme="8"/>
        <rFont val="Arial"/>
        <family val="2"/>
      </rPr>
      <t xml:space="preserve">
</t>
    </r>
    <r>
      <rPr>
        <b/>
        <sz val="11"/>
        <color theme="5"/>
        <rFont val="Arial"/>
        <family val="2"/>
      </rPr>
      <t xml:space="preserve">  Orange: Organisation (OG)</t>
    </r>
  </si>
  <si>
    <r>
      <rPr>
        <b/>
        <sz val="11"/>
        <color rgb="FFFF0000"/>
        <rFont val="Arial"/>
        <family val="2"/>
      </rPr>
      <t>Wichtig:</t>
    </r>
    <r>
      <rPr>
        <b/>
        <sz val="11"/>
        <color theme="1"/>
        <rFont val="Arial"/>
        <family val="2"/>
      </rPr>
      <t xml:space="preserve"> </t>
    </r>
    <r>
      <rPr>
        <sz val="11"/>
        <color theme="1"/>
        <rFont val="Arial"/>
        <family val="2"/>
      </rPr>
      <t>Diese Reifegraderhebung zielt auf die Inhalte technischer Dokumentation ab. Sowohl das Referenzmodell als auch die einzelnen Prozesse sind schematisch zu verstehen und dienen als inhaltliche Stütze. Sie müssen weder nach diesem Schema etabliert, noch nach dieser Vorgehensweise umgesetzt werden!</t>
    </r>
  </si>
  <si>
    <t>Technische Dokumentation (TD):</t>
  </si>
  <si>
    <r>
      <t>Organisation (OG):</t>
    </r>
    <r>
      <rPr>
        <sz val="11"/>
        <rFont val="Arial"/>
        <family val="2"/>
      </rPr>
      <t xml:space="preserve"> </t>
    </r>
  </si>
  <si>
    <t>Relevante Themenbereiche der Organisation, die mit der technischen Dokumentation in Verbindung stehen bzw. diese beeinflussen.</t>
  </si>
  <si>
    <t>Relevante Themenbereiche der technischen Dokumentation.</t>
  </si>
  <si>
    <r>
      <rPr>
        <sz val="11"/>
        <rFont val="Arial"/>
        <family val="2"/>
      </rPr>
      <t>Das Tool deckt die folgenden Bereiche ab. Die jeweiligen Betrachtungsobjekte sind farblich hervorgehoben.</t>
    </r>
    <r>
      <rPr>
        <sz val="11"/>
        <color rgb="FFFF0000"/>
        <rFont val="Arial"/>
        <family val="2"/>
      </rPr>
      <t xml:space="preserve">
</t>
    </r>
  </si>
  <si>
    <t>Dashboard</t>
  </si>
  <si>
    <t>Redaktionsprozess - Prozessinitiierung</t>
  </si>
  <si>
    <t>Prozessinitierung</t>
  </si>
  <si>
    <t>Eigenes Ziel</t>
  </si>
  <si>
    <t>Subdimension</t>
  </si>
  <si>
    <t>Themenbereich</t>
  </si>
  <si>
    <r>
      <rPr>
        <b/>
        <sz val="11"/>
        <color rgb="FFFF0000"/>
        <rFont val="Arial"/>
        <family val="2"/>
      </rPr>
      <t xml:space="preserve">1 </t>
    </r>
    <r>
      <rPr>
        <sz val="11"/>
        <color theme="1"/>
        <rFont val="Arial"/>
        <family val="2"/>
      </rPr>
      <t>- initial</t>
    </r>
  </si>
  <si>
    <t>TT.MM.JJJJ</t>
  </si>
  <si>
    <t>Sind in Entwicklungsprozessen allgemeine erforderliche Ressourcen für den Redaktionsprozess vorab bekannt? Sind ausreichend Ressourcen vorhanden?</t>
  </si>
  <si>
    <t>Sind in Entwicklungsprozessen Deadlines für die Fertigstellung der Dokumentation definiert? Lässt sich ein Einstiegspunkt für den redaktionellen Prozess bestimmen?</t>
  </si>
  <si>
    <t>Ist die Vorgehensweise zur Etablierung eines auf den Entwicklungsprozess angeglichenen Redaktionsprozess geplant (Beispielsweise in einer Roadmap)?</t>
  </si>
  <si>
    <t>Werden Verbesserungspotentiale zur Vorgehensweise im Redaktionsprozess identifiziert?</t>
  </si>
  <si>
    <t>Wurde eine Ressourcenplanung für einzelne Aufgaben im Redaktionsprozess durchgeführt?</t>
  </si>
  <si>
    <t>Sind zeitkritische Redaktionsaufgaben bekannt und werden mit entsprechendem Puffer berücksichtigt?</t>
  </si>
  <si>
    <r>
      <t xml:space="preserve">Wird der reale Ressourcenbedarf dokumentiert und </t>
    </r>
    <r>
      <rPr>
        <b/>
        <sz val="10"/>
        <color theme="1"/>
        <rFont val="Arial"/>
        <family val="2"/>
      </rPr>
      <t>regelmäßig</t>
    </r>
    <r>
      <rPr>
        <sz val="10"/>
        <color theme="1"/>
        <rFont val="Arial"/>
        <family val="2"/>
      </rPr>
      <t xml:space="preserve"> mit den Planungsdaten verglichen?</t>
    </r>
  </si>
  <si>
    <t>Ist die Ressourcenplanung systemgestützt an den Entwicklungsprozess gekoppelt?</t>
  </si>
  <si>
    <t>Werden die Performance-Daten aus dem Redaktionsprozess weiter verwendet (z.B. zur verbesserten Prognose des Ressourcenbedarfs)?</t>
  </si>
  <si>
    <t>Wurden Workflows definiert? Werden die Aufgaben mit Deadlines an die Verantwortlichen gesendet (z.B. Ticketsystem)?</t>
  </si>
  <si>
    <t>Werden basierend auf aktuellen Entwicklungen Verbesserungspotentiale für den Redaktionsprozess identifiziert, bewertet und umgesetzt?</t>
  </si>
  <si>
    <t>Wird bei Änderungen im Entwicklungsprozess (z.B. Produktänderungen) der Redaktionsprozess angestoßen? Werden die Ressourcen dynamisch angepasst?</t>
  </si>
  <si>
    <t>Zweck</t>
  </si>
  <si>
    <t>Ergebnisse</t>
  </si>
  <si>
    <t>• Mitarbeiter besitzen das Erfahrungswissen zur selbstständigen Initiierung des Redaktionsprozesses</t>
  </si>
  <si>
    <t>• Die Ressourcenplanung ist systemgestützt an den Entwicklungsprozess gekoppelt
• Die Performance-Daten aus dem Redaktionsprozess werden für Analysen weiter verwendet
• Workflows wurden definiert
• Aufgaben werden automatisiert mit Deadlines an die Verantwortlichen gesendet</t>
  </si>
  <si>
    <t>• Bei Änderungen im Entwicklungsprozess werden die tangierten Aufgaben im Redaktionsprozess angestoßen
• Bei Änderungen im Entwicklungsprozess werden die Ressourcen dynamisch angepasst
• Ressourcen werden automatisiert geplant und priorisiert
• Basierend auf den aktuellen Entwicklungen werden Verbesserungspotenziale identifiziert, bewertet und umgesetzt</t>
  </si>
  <si>
    <t>Werden benötigte Ressourcen für den Redaktionsprozess automatisiert geplant und priorisiert (z.B. auf Grundlage des Projektfortschritts)?</t>
  </si>
  <si>
    <t>1 - initial</t>
  </si>
  <si>
    <t>• Ressourcenplanung und Prozessinitiierung sind festgelegt
• Zeitplan und Meilensteinplan liegen vor
• Redaktionsprozess ist an den Entwicklungsprozess gekoppelt</t>
  </si>
  <si>
    <t>• Erkennen und dokumentieren des Auslösers für den Redaktionsprozess
• Sicherstellen, dass alle erforderlichen Ressourcen vorliegen
• Verknüpfen der Aktivitäten des Redaktionsprozesses mit Aktivitäten des Entwicklungsprozesses</t>
  </si>
  <si>
    <r>
      <t xml:space="preserve">Existiert eine Leitlinie für durchzuführende Aufgaben im Redaktionsprozess und wird diese </t>
    </r>
    <r>
      <rPr>
        <b/>
        <sz val="10"/>
        <color theme="1"/>
        <rFont val="Arial"/>
        <family val="2"/>
      </rPr>
      <t>gelegentlich</t>
    </r>
    <r>
      <rPr>
        <sz val="10"/>
        <color theme="1"/>
        <rFont val="Arial"/>
        <family val="2"/>
      </rPr>
      <t xml:space="preserve"> aktualisiert?</t>
    </r>
  </si>
  <si>
    <t>• Die erforderlichen Ressourcen für den Redaktionsprozess sind insgesamt grob bekannt (z.B. Anzahl Personenmonate)
• Die Mitarbeitenden verfügen über ausreichend Ressourcen zur Durchführung der Redaktionsarbeit
• Deadlines für die Fertigstellung der Dokumentation sind festgelegt und werden größtenteils eingehalten
• Die Angleichung des Redaktionsprozesses an den Entwicklungsprozess ist geplant
• Es existieren Leitlinien für die Aufgaben im Redaktionsprozess</t>
  </si>
  <si>
    <t>• Startdokumentation
• Projektzeitplan
• Ressourcenplanung</t>
  </si>
  <si>
    <t>Prozess zur Beschaffung der Informationen, die für den Redaktionsprozess erforderlich sind</t>
  </si>
  <si>
    <t>• Mitarbeiter besitzen das Erfahrungswissen zur selbstständigen Beschaffung von Informationen</t>
  </si>
  <si>
    <t>• sämtliche Informationsquellen und Ansprechpartner sind bekannt und dokumentiert
• Informationen erreichen die Redaktion automatisch im Push-Prinzip
• Informationslücken sind erkannt, dokumentiert und mit Maßnahmen zur Schließung versehen</t>
  </si>
  <si>
    <t>• Informationsbedarf definieren und dokumentieren
• Geeignete Quellen identifizieren und dokumentieren
• Informationsbeschaffung durchführen und dokumentieren</t>
  </si>
  <si>
    <t>• Quellenverzeichnis
• Informationsanforderungsliste</t>
  </si>
  <si>
    <t>Ist ein systematischer Informationsbeschaffungsprozess mit Rollen und Verantwortlichkeiten definiert?</t>
  </si>
  <si>
    <t>Gelangen die Informationen automatisiert und normalisiert zur Redaktion?</t>
  </si>
  <si>
    <r>
      <t xml:space="preserve">Existiert eine Leitlinie für erforderliche Information und die zugehörigen Informationsquellen und wird diese </t>
    </r>
    <r>
      <rPr>
        <b/>
        <sz val="10"/>
        <color theme="1"/>
        <rFont val="Arial"/>
        <family val="2"/>
      </rPr>
      <t xml:space="preserve">gelegentlich </t>
    </r>
    <r>
      <rPr>
        <sz val="10"/>
        <color theme="1"/>
        <rFont val="Arial"/>
        <family val="2"/>
      </rPr>
      <t>aktualisiert?</t>
    </r>
  </si>
  <si>
    <t>Werden basierend auf aktuellen Entwicklungen Verbesserungspotentiale für die Informationsbeschaffung identifiziert, bewertet und umgesetzt?</t>
  </si>
  <si>
    <r>
      <t xml:space="preserve">Wird der Prozess der Informationsbeschaffung </t>
    </r>
    <r>
      <rPr>
        <b/>
        <sz val="10"/>
        <color theme="1"/>
        <rFont val="Arial"/>
        <family val="2"/>
      </rPr>
      <t>kontinuierlich verbessert</t>
    </r>
    <r>
      <rPr>
        <sz val="10"/>
        <color theme="1"/>
        <rFont val="Arial"/>
        <family val="2"/>
      </rPr>
      <t>?</t>
    </r>
  </si>
  <si>
    <t>Sind Ziele und Vorgehensweisen für die Durchführung der Informationsbeschaffung festgelegt und dokumentiert?</t>
  </si>
  <si>
    <t>Sind die Ansprechpartner für die erforderlichen Informationen bzw. Informationsquellen bekannt und werden diese frühzeitig eingebunden?</t>
  </si>
  <si>
    <t>• Die erforderlichen Informationen sind bekannt
• Die Ansprechpartner für die erforderlichen Informationen bzw. die Informationsquellen sind bekannt
• Die Ansprechpartner werden frühzeitig eingebunden
• Es existiert eine Leitlinie für erforderliche Information und die zugehörigen Informationsquellen
• Es sind Ziele und Vorgehensweisen für die Durchführung der Informationsbeschaffung festgelegt und dokumentiert</t>
  </si>
  <si>
    <r>
      <t xml:space="preserve">Erfolgt die Informationsbeschaffung </t>
    </r>
    <r>
      <rPr>
        <b/>
        <sz val="10"/>
        <color theme="1"/>
        <rFont val="Arial"/>
        <family val="2"/>
      </rPr>
      <t>regelmäßig</t>
    </r>
    <r>
      <rPr>
        <sz val="10"/>
        <color theme="1"/>
        <rFont val="Arial"/>
        <family val="2"/>
      </rPr>
      <t xml:space="preserve"> im Push-Prinzip von den Abteilungen zur Redaktion (z.B. von einzelnen Abteilungen / für einzelne Informationen)?</t>
    </r>
  </si>
  <si>
    <t>• Der Informationsfluss erfolgt regelmäßig im Push-Prinzip
• Es ist ein systematischer Informationsbeschaffungsprozess mit Rollen und Verantwortlichkeiten definiert</t>
  </si>
  <si>
    <r>
      <t xml:space="preserve">Wissen die Mitarbeiter, die mit der Technischen Dokumentation vertraut sind, aus der Erfahrung ungefähr, woher sie die erforderlichen Informationen bekommen bzw. sind die Informationsquellen zumindest </t>
    </r>
    <r>
      <rPr>
        <b/>
        <sz val="10"/>
        <color theme="1"/>
        <rFont val="Arial"/>
        <family val="2"/>
      </rPr>
      <t>grob</t>
    </r>
    <r>
      <rPr>
        <sz val="10"/>
        <color theme="1"/>
        <rFont val="Arial"/>
        <family val="2"/>
      </rPr>
      <t xml:space="preserve"> definiert?</t>
    </r>
  </si>
  <si>
    <r>
      <t xml:space="preserve">Ist </t>
    </r>
    <r>
      <rPr>
        <b/>
        <sz val="10"/>
        <color theme="1"/>
        <rFont val="Arial"/>
        <family val="2"/>
      </rPr>
      <t>identifiziert</t>
    </r>
    <r>
      <rPr>
        <sz val="10"/>
        <color theme="1"/>
        <rFont val="Arial"/>
        <family val="2"/>
      </rPr>
      <t xml:space="preserve"> worden, welche Informationen im Redaktionsprozess für die technische Dokumentation erforderlich sind?</t>
    </r>
  </si>
  <si>
    <r>
      <t xml:space="preserve">Ist ein ganzheitlicher Informationsfluss modelliert und definiert? Wird dieser </t>
    </r>
    <r>
      <rPr>
        <b/>
        <sz val="10"/>
        <color theme="1"/>
        <rFont val="Arial"/>
        <family val="2"/>
      </rPr>
      <t>regelmäßig überprüft</t>
    </r>
    <r>
      <rPr>
        <sz val="10"/>
        <color theme="1"/>
        <rFont val="Arial"/>
        <family val="2"/>
      </rPr>
      <t>?</t>
    </r>
  </si>
  <si>
    <t>• Die Informationen gelangen automatisiert und normalisiert zur Redaktion
• Der Informationsbeschaffungsprozess wird kontinuierlich verbessert
• Es werden basierend auf den aktuellen Entwicklungen Verbesserungspotenziale für die Informationsbeschaffung identifiziert, bewertet und umgesetzt</t>
  </si>
  <si>
    <t>Zusammenarbeit zwischen den Mitarbeitern, die an der technischen Dokumentation arbeiten bzw. dafür verantwortlich sind untereinander sowie mit anderen, tangierten Abteilungen</t>
  </si>
  <si>
    <t>Wird bei Bedarf projektbezogenen mit anderen Redakteuren bzw. für die Dokumentation verantwortlichen Personen zusammengearbeitet?</t>
  </si>
  <si>
    <t>• Bei Bedarf wird projektbezogen mit anderen Redakteuren bzw. für die Dokumentation verantwortlichen Personen zusammengearbeitet</t>
  </si>
  <si>
    <t>Sind Verantwortlichkeiten in der Redaktion projektbezogen definiert und dokumentiert?</t>
  </si>
  <si>
    <t>Existiert ein definierter Prozess zur projektbegleitenden, abteilungsübergreifenden Zusammenarbeit?</t>
  </si>
  <si>
    <t>Werden innerhalb der Teams Entscheidungen für den Entwicklungs- und den Redaktionsprozess getroffen?</t>
  </si>
  <si>
    <t>Herrscht innerhalb der Teams die Überzeugung, dass gemeinsam bessere Ergebnisse erreicht werden als allein?</t>
  </si>
  <si>
    <r>
      <t xml:space="preserve">Sind innerhalb der Teams Rollen definiert und werden diese </t>
    </r>
    <r>
      <rPr>
        <b/>
        <sz val="10"/>
        <color theme="1"/>
        <rFont val="Arial"/>
        <family val="2"/>
      </rPr>
      <t>regelmäßig überprüft</t>
    </r>
    <r>
      <rPr>
        <sz val="10"/>
        <color theme="1"/>
        <rFont val="Arial"/>
        <family val="2"/>
      </rPr>
      <t>?</t>
    </r>
  </si>
  <si>
    <r>
      <t xml:space="preserve">Werden </t>
    </r>
    <r>
      <rPr>
        <b/>
        <sz val="10"/>
        <color theme="1"/>
        <rFont val="Arial"/>
        <family val="2"/>
      </rPr>
      <t>regelmäßig</t>
    </r>
    <r>
      <rPr>
        <sz val="10"/>
        <color theme="1"/>
        <rFont val="Arial"/>
        <family val="2"/>
      </rPr>
      <t xml:space="preserve"> abteilungsübergreifend Teams zur Zusammenarbeit gebildet?</t>
    </r>
  </si>
  <si>
    <r>
      <t xml:space="preserve">Wird die Zusammenarbeit und Kommunikation im Team </t>
    </r>
    <r>
      <rPr>
        <b/>
        <sz val="10"/>
        <color theme="1"/>
        <rFont val="Arial"/>
        <family val="2"/>
      </rPr>
      <t>kontinuierlich verbessert</t>
    </r>
    <r>
      <rPr>
        <sz val="10"/>
        <color theme="1"/>
        <rFont val="Arial"/>
        <family val="2"/>
      </rPr>
      <t>?</t>
    </r>
  </si>
  <si>
    <t xml:space="preserve">Werden kontinuierlich neue Möglichkeiten der Zusammenarbeit identifiziert, bewertet und umgesetzt? </t>
  </si>
  <si>
    <r>
      <t xml:space="preserve">Werden Informationen bzw. Inhalte </t>
    </r>
    <r>
      <rPr>
        <b/>
        <sz val="10"/>
        <color theme="1"/>
        <rFont val="Arial"/>
        <family val="2"/>
      </rPr>
      <t>gelegentlich</t>
    </r>
    <r>
      <rPr>
        <sz val="10"/>
        <color theme="1"/>
        <rFont val="Arial"/>
        <family val="2"/>
      </rPr>
      <t xml:space="preserve"> mit anderen Mitarbeitern innerhalb der Redaktion geteilt?</t>
    </r>
  </si>
  <si>
    <t>Wird die Teamarbeit mithilfe von Tools unterstützt?</t>
  </si>
  <si>
    <t>• Innerhalb der Teams sind Rollen definiert und werden diese regelmäßig überprüft
• Die crossfunktionale Teamarbeit wird mit Hilfe von Kennzahlen gesteuert
• Innerhalb der Teams herrscht die Überzeugung, dass gemeinsam bessere Ergebnisse erreicht werden als allein
• Die Teamarbeit wird mithilfe von Tools unterstützt</t>
  </si>
  <si>
    <t>• Die Zusammenarbeit und Kommunikation im Team wird kontinuierlich verbessert
• Es werden kontinuierlich neue Möglichkeiten der Zusammenarbeit identifiziert, bewertet und umgesetzt</t>
  </si>
  <si>
    <t>• Kollaborative Zusammenarbeit abteilungsintern
• Kollaborative Zusammenarbeit abteilungsübergreifend
• Abteilungsübergreifende Teamkultur
• Ganzheitliche Sicht auf Redaktionsprozesse und Entwicklungsprozesse</t>
  </si>
  <si>
    <t>• regelmäßige Abstimmungen innerhalb der Redaktion und abteilungsübergreifend
• Förderung einer kollaborativen Unternehmenskultur durch Schulungen oder Guidelines
• Nutzung gemeinsamer Tools und Plattformen zur Koordination und Dokumentation</t>
  </si>
  <si>
    <t>• Regeln und Praktiken zur Zusammenarbeit
• Rollen- und Verantwortlichkeitsmatrix
• gemeinsame Informationsplattformen oder Tools</t>
  </si>
  <si>
    <t>• Die Kommunikation erfolgt über Dritte (z.B. Projektleiter)</t>
  </si>
  <si>
    <r>
      <t xml:space="preserve">Erfolgt die externe Zusammenarbeit projektbezogen </t>
    </r>
    <r>
      <rPr>
        <b/>
        <sz val="10"/>
        <color theme="1"/>
        <rFont val="Arial"/>
        <family val="2"/>
      </rPr>
      <t>gelegentlich</t>
    </r>
    <r>
      <rPr>
        <sz val="10"/>
        <color theme="1"/>
        <rFont val="Arial"/>
        <family val="2"/>
      </rPr>
      <t xml:space="preserve"> zwischen externen Partnern und der Redaktion?</t>
    </r>
  </si>
  <si>
    <t>Gibt es definierte Ansprechpartner bei externen Partnern für die Redaktion und sind diese dokumentiert?</t>
  </si>
  <si>
    <t>Wird die externe Zusammenarbeit auf der Grundlage gemeinsamer Workflows durchgeführt?</t>
  </si>
  <si>
    <r>
      <t xml:space="preserve">Werden Absprachen mit externen Partnern </t>
    </r>
    <r>
      <rPr>
        <b/>
        <sz val="10"/>
        <color theme="1"/>
        <rFont val="Arial"/>
        <family val="2"/>
      </rPr>
      <t>gelegentlich</t>
    </r>
    <r>
      <rPr>
        <sz val="10"/>
        <color theme="1"/>
        <rFont val="Arial"/>
        <family val="2"/>
      </rPr>
      <t xml:space="preserve"> dokumentiert?</t>
    </r>
  </si>
  <si>
    <t>• Es gibt definierte Ansprechpartner bei externen Partnern für die Redaktion
• Die externe Zusammenarbeit erfolgt gelegentlich projektbezogen
• Absprachen mit externen Partnern werden gelegentlich dokumentiert</t>
  </si>
  <si>
    <t>Sind Rollen, Verantwortlichkeiten und Kommunikationswege mit externen Partnern definiert und dokumentiert?</t>
  </si>
  <si>
    <r>
      <t xml:space="preserve">Wird gemeinsam an der </t>
    </r>
    <r>
      <rPr>
        <b/>
        <sz val="10"/>
        <color theme="1"/>
        <rFont val="Arial"/>
        <family val="2"/>
      </rPr>
      <t>kontinuierlichen Verbesserung</t>
    </r>
    <r>
      <rPr>
        <sz val="10"/>
        <color theme="1"/>
        <rFont val="Arial"/>
        <family val="2"/>
      </rPr>
      <t xml:space="preserve"> der Dokumentation gearbeitet (z.B. in Form von Innovationspartnerschaften)?</t>
    </r>
  </si>
  <si>
    <t>Gibt es standardisierte Schnittstellen und Übergabeformate zu den Partnern für den Informationsaustausch und für die Integration externer Inhalte in die technische Dokumentation?</t>
  </si>
  <si>
    <t>Werden in der externen Zusammenarbeit gemeinsame (Qualitäts-) Ziele verfolgt?</t>
  </si>
  <si>
    <r>
      <t xml:space="preserve">Werden die Leistungen anhand gemeinsam definierter KPIs </t>
    </r>
    <r>
      <rPr>
        <b/>
        <sz val="10"/>
        <color theme="1"/>
        <rFont val="Arial"/>
        <family val="2"/>
      </rPr>
      <t>regelmäßig überprüft</t>
    </r>
    <r>
      <rPr>
        <sz val="10"/>
        <color theme="1"/>
        <rFont val="Arial"/>
        <family val="2"/>
      </rPr>
      <t xml:space="preserve"> und gesteuert?</t>
    </r>
  </si>
  <si>
    <t>• Die externe Zusammenarbeit wird gemeinsam mit den Partnern kontinuierlich verbessert
• Neue Möglichkeiten zur Zusammenarbeit werden identifiziert, bewertet und umgesetzt 
• Es wird gemeinsam an der kontinuierlichen Verbesserung der Dokumentation gearbeitet (z.B. in Form von Innovationspartnerschaften)</t>
  </si>
  <si>
    <t>• Relevante externe Partner sind identifiziert, eingebunden und ihre Rollen definiert
• Kommunikations- und Abstimmungswege mit externen Akteuren sind definiert
• Vereinbarungen sind dokumentiert
• Externe Beiträge sind integriert und konsistent mit der Gesamtdokumentation</t>
  </si>
  <si>
    <t>• Klare Definition von Schnittstellen, Verantwortlichkeiten und Qualitätskriterien
• Regelmäßige Abstimmungsrunden oder Statusmeetings mit externen Partnern
• Nutzung von Tools und Plattformen</t>
  </si>
  <si>
    <t>• Verträge, Vereinbarungen oder Service Level Agreements (SLA) mit externen Partnern
• Dokumentierte Kommunikations- und Schnittstellenregeln für externe Zusammenarbeit
• Gemeinsame Arbeitsplattformen oder Austauschformate</t>
  </si>
  <si>
    <t>Sicherstellung, dass die technische Dokumentation alle relevanten gesetzlichen, normativen und regulatorischen Anforderungen erfüllt. Ziel ist es, rechtliche Risiken zu vermeiden, Produkthaftung zu reduzieren und die Markt- und Zulassungsfähigkeit von Produkten sicherzustellen.</t>
  </si>
  <si>
    <t>• Anwendbare Gesetze, Normen und Richtlinien für die technische Dokumentation sind identifiziert und bekannt
• Die Dokumentation erfüllt die relevanten rechtlichen und normativen Anforderungen
• Nachweise über die Einhaltung der Rechtskonformität liegen vor
• Änderungen in regulatorischen Rahmenbedingungen werden zeitnah in den Redaktionsprozess integriert</t>
  </si>
  <si>
    <t>• Systematische Recherche relevanter Normen, Gesetze und Richtlinien für die Dokumentation.
• Übersetzung rechtlicher Anforderungen in konkrete Redaktionsleitlinien und -prozesse.
• Regelmäßige Aktualisierung der Rechts- und Normenlage im Redaktionsprozess.
• Durchführung von Konformitätsprüfungen während und nach der Dokumentationserstellung</t>
  </si>
  <si>
    <t>• Dokumentierte Rechts- und Normenrecherchen (z. B. Anforderungslisten, Normenregister).
• Checklisten oder Prüfdokumente zur Sicherstellung der Konformität.
• Nachweise der Rechtskonformität (z. B. Prüfberichte, Freigabeprotokolle, Zertifikate).
• Versionierte Dokumentationsstände, die den Zeitpunkt der Rechtsprüfung nachvollziehbar machen</t>
  </si>
  <si>
    <t>Besitzen die Mitarbeitenden individuell Kenntnisse über die relevanten Normen? Besitzen sie individuelle Normenbibliotheken?</t>
  </si>
  <si>
    <t>• Die Recherche zu den rechtlichen Anforderungen ist projektbezogen
• Die Mitarbeitenden besitzen individuell Kenntnisse über die relevanten Normen
• Die Mitarbeitenden besitzen individuelle Normenbibliotheken</t>
  </si>
  <si>
    <t>Werden den Mitarbeitenden relevante Richtlinien und Normen allgemein zugänglich gemacht?</t>
  </si>
  <si>
    <t>Existieren systematische Prüfverfahren zur Einhaltung der Rechtsvorgaben?</t>
  </si>
  <si>
    <t>Liegen dokumentierte Prozesse oder Leitlinien zur Sicherstellung der Rechtskonformität in der Dokumentation vor? Sind die Prozesse fester Bestandteil des Redaktionsprozesses?</t>
  </si>
  <si>
    <t>Werden Änderungen in Gesetzen, Normen oder Richtlinien systematisch verfolgt und in die Redaktionsprozesse integriert?</t>
  </si>
  <si>
    <r>
      <t xml:space="preserve">Werden rechtliche Anforderungen </t>
    </r>
    <r>
      <rPr>
        <b/>
        <sz val="10"/>
        <color theme="1"/>
        <rFont val="Arial"/>
        <family val="2"/>
      </rPr>
      <t>regelmäßig überprüft</t>
    </r>
    <r>
      <rPr>
        <sz val="10"/>
        <color theme="1"/>
        <rFont val="Arial"/>
        <family val="2"/>
      </rPr>
      <t xml:space="preserve"> und deren Einhaltung aktiv überwacht?</t>
    </r>
  </si>
  <si>
    <t>Werden Verbesserungspotenziale für die Rechtskonformität der Dokumentation kontinuierlich identifiziert, bewertet und umgesetzt?</t>
  </si>
  <si>
    <t>Wird die Aktualität relevanter Rechtsdokumente automatisiert sichergestellt?</t>
  </si>
  <si>
    <t>Wird die Rechts- und Normenrecherche KI-gestützt durchgeführt? Unterstützt KI beim Ableiten von anwendungsspezifischen Maßnahmen zur Sicherstellung der Rechtskonformität?</t>
  </si>
  <si>
    <t>• Die Aktualität relevanter Rechtsdokumente wird automatisiert sichergestellt
• Die Rechts- und Normenrecherche wird KI-gestützt durchgeführt
• KI unterstützt beim Ableiten von anwendungsspezifischen Maßnahmen zur Sicherstellung der Rechtskonformität
• Verbesserungspotenziale für die Rechtskonformität der Dokumentation werden kontinuierlich identifiziert, bewertet und umgesetzt</t>
  </si>
  <si>
    <t>Werden Verantwortlichkeiten für die Identifikation und Umsetzung rechtlicher Anforderungen zugewiesen?</t>
  </si>
  <si>
    <t>• rechtliche Anforderungen werden regelmäßig überprüft und deren Einhaltung aktiv überwacht
• Aussagekräftige Kennzahlen für die Steuerung von Prozessen im Kontext der Rechtskonformität sind definiert worden und werden regelmäßig kontrolliert
• Änderungen in Gesetzen, Normen oder Richtlinien werden systematisch verfolgt und in die Redaktionsprozesse integriert</t>
  </si>
  <si>
    <r>
      <t xml:space="preserve">Sind aussagekräftige Kennzahlen für die Steuerung von Prozessen im Kontext der Rechtskonformität definiert worden und werden diese </t>
    </r>
    <r>
      <rPr>
        <b/>
        <sz val="10"/>
        <color theme="1"/>
        <rFont val="Arial"/>
        <family val="2"/>
      </rPr>
      <t>regelmäßig kontrolliert</t>
    </r>
    <r>
      <rPr>
        <sz val="10"/>
        <color theme="1"/>
        <rFont val="Arial"/>
        <family val="2"/>
      </rPr>
      <t>?</t>
    </r>
  </si>
  <si>
    <t>Wird die Durchführung der Recherche dokumentiert?</t>
  </si>
  <si>
    <r>
      <t xml:space="preserve">Wird die Recherche nach einem </t>
    </r>
    <r>
      <rPr>
        <b/>
        <sz val="10"/>
        <color theme="1"/>
        <rFont val="Arial"/>
        <family val="2"/>
      </rPr>
      <t>definierten</t>
    </r>
    <r>
      <rPr>
        <sz val="10"/>
        <color theme="1"/>
        <rFont val="Arial"/>
        <family val="2"/>
      </rPr>
      <t xml:space="preserve"> Prozess durchgeführt?</t>
    </r>
  </si>
  <si>
    <t>• dokumentierte Prozesse oder Leitlinien zur Sicherstellung der Rechtskonformität in der Dokumentation liegen vor
• Die Prozesse sind fester Bestandteil des Redaktionsprozesses
• Verantwortlichkeiten für die Identifikation und Umsetzung rechtlicher Anforderungen sind zugewiesen
• Es existieren systematische Prüfverfahren zur Einhaltung der Rechtsvorgaben</t>
  </si>
  <si>
    <t>Die Qualitätssicherung im Redaktionsprozess dient dazu, die Richtigkeit, Vollständigkeit, Verständlichkeit und Konsistenz der technischen Dokumentation sicherzustellen. Ziel ist es, Fehler zu vermeiden, Nutzerfreundlichkeit zu gewährleisten und die Einhaltung interner sowie externer Standards abzusichern.</t>
  </si>
  <si>
    <t>• Inhalte der Dokumentation werden regelmäßig überprüft und freigegeben.
• Konsistenz, Terminologie und formale Standards sind eingehalten.
• Fehler, Inkonsistenzen oder fehlende Informationen werden identifiziert und korrigiert.
• Nachweise für durchgeführte Prüfungen und Freigaben liegen vor.</t>
  </si>
  <si>
    <t>Existieren erste Qualitätsmerkmale (z.B. die Einhaltung von Fristen) zur Beurteilung des Redaktionsprozesses?</t>
  </si>
  <si>
    <t>Werden standardisierte Prüfverfahren eingesetzt, um die Dokumentationsqualität sicherzustellen?</t>
  </si>
  <si>
    <t>Ist die Freigabe der Dokumentation an definierte Qualitätskriterien gebunden?</t>
  </si>
  <si>
    <t>Existieren prozessbezogene Leitfäden für den redaktionellen Prozess (Redaktionsleitfaden)? Sind diese verbindlich anzuwenden?</t>
  </si>
  <si>
    <r>
      <t xml:space="preserve">Wird die Qualitätssicherung </t>
    </r>
    <r>
      <rPr>
        <b/>
        <sz val="10"/>
        <color theme="1"/>
        <rFont val="Arial"/>
        <family val="2"/>
      </rPr>
      <t>regelmäßig überwacht</t>
    </r>
    <r>
      <rPr>
        <sz val="10"/>
        <color theme="1"/>
        <rFont val="Arial"/>
        <family val="2"/>
      </rPr>
      <t xml:space="preserve"> und anhand von Kennzahlen bewertet (z. B. Fehlerquote, Nacharbeitsaufwand)?</t>
    </r>
  </si>
  <si>
    <t>Wird die Qualitätssicherung als Teil der Unternehmenskultur gesehen?</t>
  </si>
  <si>
    <t>Werden systematische Fehleranalysen bei Qualitätsmängeln durchgeführt?</t>
  </si>
  <si>
    <t>Werden Verfahren und Tools der Qualitätssicherung regelmäßig überprüft und weiterentwickelt?</t>
  </si>
  <si>
    <t>Werden Erfahrungen (z. B. Lessons Learned) systematisch genutzt, um Prüfverfahren zu optimieren?</t>
  </si>
  <si>
    <t>Erfolgt ein proaktiver Einsatz innovativer Methoden (z. B. KI-gestützte Qualitätssicherung, automatisierte Prüfungen)?</t>
  </si>
  <si>
    <t>• Im Fall eines Defizits / Schadensfall werden qualitätssichernde Maßnahmen durchgeführt
• Es existieren erste Qualitätsmerkmale zur Beurteilung des Redaktionsprozesses</t>
  </si>
  <si>
    <t>• Es werden einfache Methoden zur Qualitätssicherung durchgeführt
• Durchgeführte qualitätssichernde Maßnahmen werden gelegentlich dokumentiert</t>
  </si>
  <si>
    <t>Gibt es dokumentierte Prozesse und Verantwortlichkeiten für die Qualitätssicherung der Dokumentation? Sind diese Prozesse in der Redaktion verankert?</t>
  </si>
  <si>
    <t>• Es gibt dokumentierte Prozesse und Verantwortlichkeiten für die Qualitätssicherung der Dokumentation
• Diese Prozesse sind in der Redaktion verankert
• Standardisierte Prüfverfahren werden eingesetzt, um die Dokumentationsqualität sicherzustellen
• Die Freigabe der Dokumentation ist an definierte Qualitätskriterien gebunden
• Es existieren prozessbezogene Leitfäden für den redaktionellen Prozess (Redaktionsleitfaden)
• Diese sind verbindlich anzuwenden</t>
  </si>
  <si>
    <t>• Die Qualitätssicherung wird regelmäßig überwacht und anhand von Kennzahlen bewertet
• Die Qualitätssicherung wird als Teil der Unternehmenskultur gesehen
• Der Redaktionsleitfaden ist verknüpft mit der Corporate Identity/ dem Corporate Design
• Es werden systematische Fehleranalysen bei Qualitätsmängeln durchgeführt</t>
  </si>
  <si>
    <t>• Verfahren und Tools der Qualitätssicherung werden regelmäßig überprüft und weiterentwickelt
• Erfahrungen werden systematisch genutzt, um Prüfverfahren zu optimieren
• Ein proaktiver Einsatz innovativer Methoden erfolgt</t>
  </si>
  <si>
    <t>• Prüf- und Freigabedokumente (Checklisten, Prüfprotokolle, Freigabeformulare).
• Richtlinien und Standards für Dokumentationsqualität (z. B. Styleguides).
• Versionierte Dokumentationsstände mit nachvollziehbarer Historie.
• Dokumentierte Korrekturmaßnahmen und Lessons Learned.</t>
  </si>
  <si>
    <t>• Durchführung formaler und inhaltlicher Prüfungen (Fachprüfung, Sprachprüfung, Normprüfung).
• Einsatz standardisierter Methoden und Tools (z. B. Stylechecker).
• Definierte Abläufe für Freigaben und Korrekturschleifen.
• Systematische Erfassung und Bearbeitung von Fehlern oder Änderungsbedarfen.
• Einbindung relevanter Fachbereiche in Prüf- und Freigabeprozesse.</t>
  </si>
  <si>
    <t>Die Dokumentationsstrukturierung hat den Zweck, Inhalte der technischen Dokumentation systematisch in logische, konsistente und wiederverwendbare Einheiten zu gliedern. Es wird darauf abgezielt, die Verständlichkeit für die Zielgruppen zu erhöhen, die Pflege zu vereinfachen und die Grundlage für Mehrfachnutzung, Modularisierung und effiziente Publikation zu schaffen</t>
  </si>
  <si>
    <t>• Inhalte sind nachvollziehbar in Kapitel, Module oder Informationseinheiten gegliedert.
• Strukturierungsprinzipien (z. B. modulare Inhalte, hierarchische Gliederung) sind definiert und werden eingehalten.
• Dokumentationen sind konsistent aufgebaut und unterstützen verschiedene Zielgruppen.
• Wiederverwendbarkeit und effiziente Verwaltung von Inhalten sind gewährleistet.</t>
  </si>
  <si>
    <t>• Definition und Umsetzung von Gliederungsprinzipien (z. B. Kapitelstruktur, Topic-orientiertes Schreiben).
• Einsatz von Modulen, wiederverwendbaren Bausteinen oder standardisierten Content-Patterns.
• Verwendung von Metadaten zur Kategorisierung und Verwaltung der Inhalte.
• Regelmäßige Prüfung der Dokumentationsstruktur auf Konsistenz und Zielgruppenorientierung.
• Abstimmung der Struktur mit den Anforderungen von Redaktionssystemen oder Publikationskanälen.</t>
  </si>
  <si>
    <t>• Strukturpläne, Inhaltsmodelle oder Dokumentationskonzepte.
• Modularisierte Inhalte (Topics, Bausteine, Module).
• Metadaten, Klassifikationen oder Tags zur inhaltlichen Strukturierung.
• Versionierte Dokumentationsstände mit nachvollziehbarer Struktur.</t>
  </si>
  <si>
    <t>Werden Inhalte systematisch in Module oder Topics gegliedert?</t>
  </si>
  <si>
    <t>Wird die Strukturierung konsistent über alle Projekte und durch alle Mitarbeitende umgesetzt?</t>
  </si>
  <si>
    <t>Wird die Einhaltung der Strukturierungsvorgaben regelmäßig überprüft (z. B. durch Reviews, automatisierte Checks)?</t>
  </si>
  <si>
    <t>Wird die Dokumentationsstruktur regelmäßig bewertet und weiterentwickelt?</t>
  </si>
  <si>
    <t>Erfolgt eine kontinuierliche Optimierung der Dokumentationsstruktur anhand von Nutzerfeedback und Best Practices?</t>
  </si>
  <si>
    <t>Wird die Dokumentationsstruktur flexibel an neue Publikationskanäle, Zielgruppen und Technologien angepasst?</t>
  </si>
  <si>
    <t>Existieren Vorlagen oder Musterdokumente zur Strukturierung der Dokumentation?</t>
  </si>
  <si>
    <t>Werden die Vorlagen von den Mitarbeitenden verwendet?</t>
  </si>
  <si>
    <t>• Die Mitarbeitenden strukturieren die Dokumentation individuell, aber konsistent
• Die Strukturierung ist auf Seiten-/ Kapitelebene</t>
  </si>
  <si>
    <t>• Es existieren Vorlagen oder Musterdokumente zur Strukturierung der Dokumentation
• Die Vorlagen werden von den Mitarbeitenden verwendet</t>
  </si>
  <si>
    <t>• Es sind verbindliche Strukturkonventionen bzw. Informationsarchitekturen zur Strukturierung der Dokumentation vorhanden
• Inhalte werden systematisch in Module oder Topics gegliedert
• Die Strukturierung wird konsistent über alle Projekte und durch alle Mitarbeitende umgesetzt</t>
  </si>
  <si>
    <t>• Die Einhaltung der Strukturierungsvorgaben wird regelmäßig überprüft
• Metadaten oder Klassifikationen werden systematisch eingesetzt, um die Strukturierung zu unterstützen
• Die Struktur folgt einem semantischen Modell
• Die Dokumentationsstruktur wird regelmäßig bewertet und weiterentwickelt</t>
  </si>
  <si>
    <t>• Es erfolgt eine kontinuierliche Optimierung der Dokumentationsstruktur anhand von Nutzerfeedback und Best Practices
• Die Dokumentationsstruktur flexibel an neue Publikationskanäle, Zielgruppen und Technologien angepasst
• innovative Ansätze werden aktiv evaluiert und eingesetzt</t>
  </si>
  <si>
    <t>Produkt- und Dokumentationsvarianten effizient verwalten, sodass unterschiedliche Ausprägungen (z. B. Produktlinien, Konfigurationen, Märkte, Sprachen) konsistent und ressourcenschonend abgebildet werden können. Ziel ist die Vermeidung redundanter Inhalte, die Sicherstellung von Konsistenz und die effiziente Wiederverwendung von Dokumentationsbausteinen bezogen auf unterschiedliche Varianten</t>
  </si>
  <si>
    <t>• Varianten in der Dokumentation sind identifiziert, dokumentiert und konsistent abgebildet.
• Unterschiede und Gemeinsamkeiten zwischen Varianten sind transparent dargestellt.
• Inhalte werden gezielt wiederverwendet, um Redundanzen zu minimieren.
• Varianten sind nachvollziehbar mit Produktdaten, Metadaten oder Strukturen verknüpft.</t>
  </si>
  <si>
    <t>• Identifikation und Dokumentation relevanter Varianten (Produkte, Märkte, Sprachen).
• Nutzung von modularen Inhalten und Wiederverwendungsmechanismen.
• Einsatz von Metadaten, Variablen oder Filtermechanismen zur Steuerung von Varianten.
• Regelmäßige Abstimmung zwischen Redaktion, Produktentwicklung und Vertrieb zu Variantenanforderungen.
• Systematische Prüfung auf Konsistenz zwischen Varianten.</t>
  </si>
  <si>
    <t>• Variantenlisten oder Konfigurationsdokumentationen.
• Modularisierte Inhalte mit Variantenkennzeichnung (z. B. über Metadaten, Attribute, Filter).
• Strukturpläne oder Regelwerke zur Steuerung von Varianten.
• Publikationsausgaben für spezifische Produkt- oder Zielgruppenvarianten.</t>
  </si>
  <si>
    <t>• Varianten werden manuell gepflegt, etwa durch das Kopieren und Anpassen kompletter Dokumente</t>
  </si>
  <si>
    <t>Werden Varianten manuell in Listen verwaltet (z.B. Excel)?</t>
  </si>
  <si>
    <t xml:space="preserve">Sind Varianten systematisch identifiziert und dokumentiert? </t>
  </si>
  <si>
    <t>Werden Varianten konsistent über modulare Bausteine oder definierte Mechanismen (z. B. Variablen, Attributsteuerung) abgebildet?</t>
  </si>
  <si>
    <t>Gibt es dokumentierte Vorgaben oder Regeln für das Variantenmanagement in der Dokumentation?</t>
  </si>
  <si>
    <t>Wird die Abbildung von Varianten aktiv überwacht und hinsichtlich Konsistenz und Effizienz bewertet?</t>
  </si>
  <si>
    <t>Werden Metadaten oder Regelwerke systematisch eingesetzt, um Varianten zu steuern?</t>
  </si>
  <si>
    <t>Erfolgt eine Abstimmung zwischen Fachbereichen (z. B. Produktmanagement, Redaktion, Service), um Variantenanforderungen konsistent umzusetzen?</t>
  </si>
  <si>
    <t>Erfolgt die Ausleitung verschiedener Variantendimensionen (z. B. Sprache, Marktversion, Produktkonfiguration) automatisiert?</t>
  </si>
  <si>
    <t>• Varianten sind systematisch identifiziert und dokumentiert
• Varianten werden konsistent über modulare Bausteine oder definierte Mechanismen abgebildet
• Es gibt dokumentierte Vorgaben oder Regeln für das Variantenmanagement in der Dokumentation</t>
  </si>
  <si>
    <t>Werden innovative Ansätze (z. B. regelbasierte Publikation, KI-gestützte Variantensteuerung) evaluiert und eingesetzt?</t>
  </si>
  <si>
    <t>Erfolgt eine proaktive Anpassung des Variantenmanagements an neue Produkte, Märkte und Zielgruppenanforderungen?</t>
  </si>
  <si>
    <t>• Die Abbildung von Varianten wird aktiv überwacht und hinsichtlich Konsistenz und Effizienz bewertet
• Metadaten oder Regelwerke werden systematisch eingesetzt, um Varianten zu steuern
• Die Ausleitung verschiedener Variantendimensionen erfolgt automatisiert 
• Es erfolgt eine Abstimmung zwischen Fachbereichen, um Variantenanforderungen konsistent umzusetzen</t>
  </si>
  <si>
    <t>Werden Varianten automatisch bzw. KI-gestützt auf Grundlage der digitalen Zwillinge angelegt und verwaltet?</t>
  </si>
  <si>
    <t>• Das Variantenmanagement kontinuierlich anhand von Feedback und Best Practices optimiert
• Innovative Ansätze (z. B. regelbasierte Publikation, KI-gestützte Variantensteuerung) werden evaluiert und eingesetzt
• Varianten werden automatisch bzw. KI-gestützt auf Grundlage der digitalen Zwillinge angelegt und verwaltet
• Es erfolgt eine proaktive Anpassung des Variantenmanagements an neue Produkte, Märkte und Zielgruppenanforderungen</t>
  </si>
  <si>
    <t>• Varianten werden manuell in Listen verwaltet
• Das Anlegen neuer Varianten und Arbeiten mit Varianten wird dokumentiert</t>
  </si>
  <si>
    <t>Können die Mitarbeiter die Dokumentation individuell identifizieren?</t>
  </si>
  <si>
    <t>Werden die Metadaten für das Versions- und Variantenmanagement verwendet?</t>
  </si>
  <si>
    <t>Existieren dokumentierte Regeln und Vorgaben zur einheitlichen Vergabe von Metadaten?</t>
  </si>
  <si>
    <t>Werden Metadaten systematisch zur Klassifikation, Wiederverwendung oder Steuerung von Inhalten genutzt?</t>
  </si>
  <si>
    <t>Sind Metadatenfelder konsistent in allen Projekten und Abteilungen implementiert?</t>
  </si>
  <si>
    <t>Unterstützen Werkzeuge oder Systeme die konsistente Anwendung von Metadaten (z. B. Pflichtfelder, automatische Checks)?</t>
  </si>
  <si>
    <t>Wird die Einhaltung des Metadatenkonzepts systematisch überprüft (z. B. durch Reviews, Audits)?</t>
  </si>
  <si>
    <t>Werden innovative Ansätze wie KI-gestützte Metadatenerkennung oder semantische Anreicherung eingesetzt?</t>
  </si>
  <si>
    <t>• Die Mitarbeiter können die Dokumentation individuell identifizieren</t>
  </si>
  <si>
    <t>• Dokumente können über die Ordnerstruktur und Dateibenennung identifiziert werden
• Es werden manuell gelegentlich Metadaten auf Dokumenteneben vergeben
• Die Metadaten werden für das Versions- und Variantenmanagement verwendet</t>
  </si>
  <si>
    <t>• Es existieren dokumentierte Regeln und Vorgaben zur einheitlichen Vergabe von Metadaten
• Metadaten werden systematisch zur Klassifikation, Wiederverwendung oder Steuerung von Inhalten genutzt
• Metadatenfelder sind konsistent in allen Projekten und Abteilungen implementiert</t>
  </si>
  <si>
    <t>• Die Vergabe und Nutzung von Metadaten wird regelmäßig überwacht und bewertet
• Werkzeuge oder Systeme unterstützen die konsistente Anwendung von Metadaten
• Die Einhaltung des Metadatenkonzepts wird systematisch überprüft</t>
  </si>
  <si>
    <t>Inhalte der technischen Dokumentation durch einheitliche und systematisch gepflegte Metadaten auffindbar, wiederverwendbar und für unterschiedliche Kontexte (Publikation, Varianten, Zielgruppen, Prozesse) steuerbar machen. Ziel ist die Strukturierung, Automatisierung und Effizienzsteigerung im Umgang mit Inhalten über den gesamten Dokumentationsprozess hinweg.</t>
  </si>
  <si>
    <t>• Inhalte sind mit relevanten Metadaten versehen.
• Einheitliche Regeln für Metadaten sind definiert und umgesetzt.
• Metadaten werden konsistent genutzt, um Inhalte zu klassifizieren, zu steuern und zu publizieren.
• Metadaten ermöglichen die zielgerichtete Wiederverwendung und Variantenbildung.</t>
  </si>
  <si>
    <t>• Metadatenkonzept (Definitionen, Kategorien, Regeln, Taxonomie/Ontologie).
• Einheitliche Metadatenfelder und Werte (z. B. Thema, Produkt, Version, Sprache, Zielgruppe).
• Dokumentierte Richtlinien für die Vergabe und Pflege von Metadaten.
• Inhalte mit angewandten Metadaten, die für Publikation und Wiederverwendung nutzbar sind.</t>
  </si>
  <si>
    <t>• Definition relevanter Metadatenkategorien und -felder.
• Einheitliche Anwendung von Metadaten bei der Erstellung und Pflege von Inhalten.
• Nutzung von Tools oder Systemfunktionen zur automatisierten Vergabe oder Prüfung von Metadaten.
• Regelmäßige Überprüfung und Weiterentwicklung des Metadatenmodells.</t>
  </si>
  <si>
    <t>Erfolgt die Metadatengenerierung bzw. -vergabe automatisch oder KI-basiert?</t>
  </si>
  <si>
    <t>• Das Metadatenmodell wird regelmäßig weiterentwickelt
• Die Metadatengenerierung bzw. -vergabe erfolgt automatisch oder KI-basiert
• Es werden innovative Ansätze wie KI-gestützte Metadatenerkennung oder semantische Anreicherung eingesetzt</t>
  </si>
  <si>
    <t>• Einheitliche Fachterminologie ist definiert und dokumentiert.
• Begriffe werden konsistent in allen Dokumenten und Abteilungen verwendet.
• Übersetzungen basieren auf festgelegter Terminologie und sind dadurch konsistent.
• Terminologische Regeln sind verbindlich und im Redaktionsprozess integriert.</t>
  </si>
  <si>
    <t>• Systematische Erfassung und Pflege relevanter Fachbegriffe.
• Abstimmung und Freigabe von Terminologie mit Fachabteilungen und ggf. externen Stakeholdern.
• Integration von Terminologieprüfungen in den Redaktionsprozess.
• Nutzung von Tools (z. B. Terminologieverwaltungssysteme, Terminologieprüfer).
• Regelmäßige Aktualisierung und Erweiterung der Terminologiebasis.</t>
  </si>
  <si>
    <t>• Terminologiedatenbank oder -liste (mit Definitionen, zulässigen Benennungen, Synonymen, Übersetzungen).
• Terminologierichtlinien.
• Dokumentierte Freigaben für neue oder geänderte Begriffe.
• Konsistente Terminologie in den ausgelieferten Dokumentationen.</t>
  </si>
  <si>
    <t>• Mitarbeitende nutzen ihre individuelle Terminologie projektbezogen konsistent</t>
  </si>
  <si>
    <r>
      <t xml:space="preserve">Werden </t>
    </r>
    <r>
      <rPr>
        <b/>
        <sz val="10"/>
        <color theme="1"/>
        <rFont val="Arial"/>
        <family val="2"/>
      </rPr>
      <t>gelegentlich</t>
    </r>
    <r>
      <rPr>
        <sz val="10"/>
        <color theme="1"/>
        <rFont val="Arial"/>
        <family val="2"/>
      </rPr>
      <t xml:space="preserve"> Begriffe in einer Terminologieliste dokumentiert?</t>
    </r>
  </si>
  <si>
    <t>Ist die Terminologieliste zugänglich für alle Mitarbeitenden der Redaktion?</t>
  </si>
  <si>
    <t>• Es werden gelegentlich Begriffe in einer Terminologieliste dokumentiert
• Die Terminologieliste zugänglich für alle Mitarbeitenden der Redaktion</t>
  </si>
  <si>
    <t>Existieren definierte Terminologierichtlinien?</t>
  </si>
  <si>
    <t>Gibt es eine zentrale, dokumentierte Terminologieliste oder Datenbank?</t>
  </si>
  <si>
    <t>Sind Prozesse für die Freigabe und Pflege von Terminologie definiert?</t>
  </si>
  <si>
    <t>Wird die Einhaltung der Terminologie durch Prüfungen oder Tools systematisch überwacht?</t>
  </si>
  <si>
    <t>Erfolgt eine Abstimmung zwischen Abteilungen (z. B. Entwicklung, Service, Marketing), um terminologische Konsistenz sicherzustellen?</t>
  </si>
  <si>
    <t>Werden innovative Ansätze wie KI-gestützte Terminologieprüfung oder semantische Netze eingesetzt?</t>
  </si>
  <si>
    <t>Erfolgt eine aktive Mitgestaltung oder Orientierung an branchenweiten Terminologiestandards?</t>
  </si>
  <si>
    <t>Existiert ein mehrsprachiges, wertstrom- bzw. unternehmensübergreifendes Terminologiemanagement?</t>
  </si>
  <si>
    <t>• Es gibt eine zentrale, dokumentierte Terminologieliste oder Datenbank
• Es existieren definierte Terminologierichtlinien
• Prozesse für die Freigabe und Pflege von Terminologie sind definiert</t>
  </si>
  <si>
    <t>• Die Einhaltung der Terminologie durch Prüfungen oder Tools wird systematisch überwacht
• Es erfolgt eine Abstimmung zwischen Abteilungen, um terminologische Konsistenz sicherzustellen
• Es wird ein Terminologiemapping zu Zulieferdokumentation durchgeführt</t>
  </si>
  <si>
    <t>• Es werden innovative Ansätze wie KI-gestützte Terminologieprüfung oder semantische Netze eingesetzt
• Es erfolgt eine aktive Mitgestaltung oder Orientierung an branchenweiten Terminologiestandards
• Es existiert ein mehrsprachiges, wertstrom- bzw. unternehmensübergreifendes Terminologiemanagement</t>
  </si>
  <si>
    <t>Das Übersetzungsmanagement stellt sicher, dass technische Dokumentationen zielgruppengerecht, konsistent, rechtssicher und effizient in andere Sprachen übertragen werden. Ziel ist die qualitativ hochwertige und kosteneffiziente Übersetzung, die die internationale Vermarktung von Produkten unterstützt.</t>
  </si>
  <si>
    <t>• Übersetzungen sind konsistent, terminologisch korrekt und erfüllen rechtliche sowie kulturelle Anforderungen.
• Prozesse für die Beauftragung, Durchführung und Prüfung von Übersetzungen sind definiert.
• Übersetzungsressourcen (z. B. Translation Memory) sind aufgebaut und werden genutzt.
• Nachweise zur Qualität und Freigabe der Übersetzungen liegen vor.</t>
  </si>
  <si>
    <t>• Definition von Prozessen für Übersetzungsaufträge, Qualitätsprüfungen und Freigaben.
• Nutzung von Translation-Memory-Systemen (TMS).
• Auswahl und Steuerung externer Übersetzungsdienstleister oder interner Ressourcen.
• Qualitätskontrolle durch linguistische und fachliche Prüfungen.
• Kontinuierliche Optimierung von Übersetzungsprozessen und -ressourcen.</t>
  </si>
  <si>
    <t>• Übersetzungsaufträge, Briefings und Anforderungsdokumente.
• Translation Memory (TM) und Terminologiedatenbanken.
• Styleguides oder Leitfäden für Übersetzungen.
• Qualitätsnachweise (z. B. Prüfdokumente, Freigabeprotokolle).</t>
  </si>
  <si>
    <t>Wenn Übersetzungen nicht relevant sind, bitte "nicht anwendbar" auswählen</t>
  </si>
  <si>
    <t>• Bei Bedarf wird Ad-Hoc nach individuellen Maßstäben übersetzt</t>
  </si>
  <si>
    <t>Werden Übersetzungsarbeiten an einen externen Dienstleister ausgelagert?</t>
  </si>
  <si>
    <t>Sind Prozesse für Übersetzungen dokumentiert und definiert (z. B. Briefing, Beauftragung, Freigabe)?</t>
  </si>
  <si>
    <t>Erfolgt die Übersetzung konsistent nach festgelegten Styleguides und Qualitätsstandards?</t>
  </si>
  <si>
    <r>
      <t xml:space="preserve">Wird die Qualität der Übersetzungen </t>
    </r>
    <r>
      <rPr>
        <b/>
        <sz val="10"/>
        <color theme="1"/>
        <rFont val="Arial"/>
        <family val="2"/>
      </rPr>
      <t>regelmäßig evaluiert</t>
    </r>
    <r>
      <rPr>
        <sz val="10"/>
        <color theme="1"/>
        <rFont val="Arial"/>
        <family val="2"/>
      </rPr>
      <t>?</t>
    </r>
  </si>
  <si>
    <t>Erfolgt eine Rückkopplung aus den Märkten oder Zielgruppen zur Verbesserung der Übersetzungen?</t>
  </si>
  <si>
    <t>Kommen innovative Ansätze wie maschinelle Übersetzung mit Post-Editing oder KI-gestützte Terminologieprüfung zum Einsatz?</t>
  </si>
  <si>
    <t>Wird das Übersetzungsmanagement proaktiv an neue Märkte, Zielgruppen, Kulturen und regulatorische Anforderungen angepasst?</t>
  </si>
  <si>
    <t>Werden Übersetzungsprozesse kontinuierlich anhand von Best Practices und neuen Technologien optimiert?</t>
  </si>
  <si>
    <t>• Übersetzungsarbeiten werden an einen externen Dienstleister ausgelagert
• Gelegentlich werden informelle Hilfsmittel wie Glossare oder Übersetzungslisten verwendet</t>
  </si>
  <si>
    <t>• Prozesse für Übersetzungen sind dokumentiert und definiert
• Die Übersetzung erfolgt konsistent nach festgelegten Styleguides und Qualitätsstandards
• Übersetzungen werden durch Übersetzungsressourcen unterstützt</t>
  </si>
  <si>
    <t>• Die Qualität der Übersetzungen wird regelmäßig evaluiert
• Es erfolgt eine Rückkopplung aus den Märkten oder Zielgruppen zur Verbesserung der Übersetzungen</t>
  </si>
  <si>
    <t>• Innovative Ansätze wie maschinelle Übersetzung mit Post-Editing oder KI-gestützte Terminologieprüfung kommen zum Einsatz
• Das Übersetzungsmanagement wird proaktiv an neue Märkte, Zielgruppen, Kulturen und regulatorische Anforderungen angepasst
• Übersetzungsprozesse werden kontinuierlich anhand von Best Practices und neuen Technologien optimiert</t>
  </si>
  <si>
    <t>• Dokumentationsinhalte entsprechen dem aktuellen Produkt- und Prozessstand.
• Aktualisierungen werden zeitnah in die Dokumentation übernommen.
• Die Nachverfolgbarkeit von Änderungen ist gewährleistet.
• Nutzer erhalten nur gültige und freigegebene Dokumentationsversionen.</t>
  </si>
  <si>
    <t>• Regelmäßige Überprüfung und Abgleich der Dokumentation mit Produktänderungen.
• Integration der Dokumentationspflege in Änderungs- und Freigabeprozesse.
• Nutzung von Tools zur Versionierung und Änderungsverfolgung.
• Festlegung von Verantwortlichkeiten und Intervallen für Aktualisierungen.
• Kontinuierliche Optimierung des Änderungs- und Aktualisierungsprozesses.</t>
  </si>
  <si>
    <t>• Änderungsprotokolle oder Versionshistorien.
• Dokumentierte Aktualisierungsprozesse (z. B. Freigaben, Änderungsmanagement).
• Aktualisierte Dokumentationen (gedruckt oder digital).
• Nachweise über Gültigkeitszeiträume und Rückverfolgbarkeit.</t>
  </si>
  <si>
    <t>Gibt es erste Routinen oder informelle Absprachen zur Pflege der Dokumentation?</t>
  </si>
  <si>
    <t>• Aktualisierungen erfolgen nur reaktiv und unsystematisch nach individuellem Ermessen, z. B. nach Kundenrückmeldungen oder Problemen</t>
  </si>
  <si>
    <r>
      <t xml:space="preserve">Werden Dokumente </t>
    </r>
    <r>
      <rPr>
        <b/>
        <sz val="10"/>
        <color theme="1"/>
        <rFont val="Arial"/>
        <family val="2"/>
      </rPr>
      <t>gelegentlich</t>
    </r>
    <r>
      <rPr>
        <sz val="10"/>
        <color theme="1"/>
        <rFont val="Arial"/>
        <family val="2"/>
      </rPr>
      <t xml:space="preserve"> aktualisiert (z.B. anlassbezogen)?</t>
    </r>
  </si>
  <si>
    <t>Gibt es einen ersten definierten Dokumenten-Lebenszyklus?</t>
  </si>
  <si>
    <t>Sind Verantwortliche für die Dokumente identifiziert worden, die Aktualisierungen vornehmen?</t>
  </si>
  <si>
    <t>• Es gibt erste Routinen oder informelle Absprachen zur Pflege der Dokumentation
• Dokumente werden gelegentlich aktualisiert
• Es sind Verantwortliche für die Dokumente identifiziert worden, die Aktualisierungen vornehmen
• Es gibt einen ersten definierten Dokumenten-Lebenszyklus</t>
  </si>
  <si>
    <t>Ist ein definierter Prozess zur Aktualisierung der Dokumentation vorhanden (z. B. Änderungsmanagement, definierte Freigabeschritte)?</t>
  </si>
  <si>
    <t>Ist die Nachverfolgbarkeit von Änderungen sichergestellt (z. B. durch Versionierung)?</t>
  </si>
  <si>
    <t>Werden Änderungen am Produkt oder Prozess systematisch in die Dokumentation übernommen (z.B. bei Wartungseinsätzen)?</t>
  </si>
  <si>
    <t>• Es ist ein definierter Prozess zur Aktualisierung der Dokumentation vorhanden
• Änderungen am Produkt oder Prozess werden systematisch in die Dokumentation übernommen
• Die Nachverfolgbarkeit von Änderungen ist sichergestellt</t>
  </si>
  <si>
    <t>Gibt es Verantwortlichkeiten und klare Fristen für die Pflege und Aktualisierung?</t>
  </si>
  <si>
    <t>Wird die Konsistenz zwischen Dokumentationsversionen und Produktständen systematisch sichergestellt?</t>
  </si>
  <si>
    <t>Werden bei Änderungen am realen System Änderungsbedarfe in der Dokumentation gekennzeichnet?</t>
  </si>
  <si>
    <t>• Die Aktualität der Dokumentation wird regelmäßig überprüft und überwacht
• Es gibt Verantwortlichkeiten und klare Fristen für die Pflege und Aktualisierung
• Bei Änderungen am realen System werden Änderungsbedarfe in der Dokumentation gekennzeichnet
• Die Konsistenz zwischen Dokumentationsversionen und Produktständen wird systematisch sichergestellt</t>
  </si>
  <si>
    <t>Werden die relevanten Dokumentationsinhalte auf Grundlage der durchgeführten Änderungen am realen System über den gesamten Lebenszyklus automatisch aktualisiert?</t>
  </si>
  <si>
    <t>Werden dabei innovative Ansätze (v.a. digitale Zwillinge) genutzt?</t>
  </si>
  <si>
    <t>• Die relevanten Dokumentationsinhalte werden auf Grundlage der durchgeführten Änderungen am realen System über den gesamten Lebenszyklus automatisch aktualisiert
• Dabei werden innovative Ansätze (v.a. digitale Zwillinge) genutzt
• Der Aktualisierungsprozess wird kontinuierlich verbessert und an neue Anforderungen angepasst</t>
  </si>
  <si>
    <r>
      <t>Wird der Aktualisierungsprozess</t>
    </r>
    <r>
      <rPr>
        <b/>
        <sz val="10"/>
        <color theme="1"/>
        <rFont val="Arial"/>
        <family val="2"/>
      </rPr>
      <t xml:space="preserve"> kontinuierlich verbessert</t>
    </r>
    <r>
      <rPr>
        <sz val="10"/>
        <color theme="1"/>
        <rFont val="Arial"/>
        <family val="2"/>
      </rPr>
      <t xml:space="preserve"> und an neue Anforderungen angepasst?</t>
    </r>
  </si>
  <si>
    <t>Die Versionierung stellt sicher, dass Dokumentationsinhalte eindeutig identifizierbar, nachvollziehbar und in konsistenter Reihenfolge gepflegt werden. Ziel ist es, jederzeit zu wissen, welche Version eines Inhalts gültig ist, welche Änderungen durchgeführt wurden und wie diese in Bezug auf das Produkt oder System einzuordnen sind.</t>
  </si>
  <si>
    <t>• Jede Dokumentation ist eindeutig einer Version zugeordnet.
• Änderungen und Freigaben sind nachvollziehbar dokumentiert.
• Veraltete Versionen sind von gültigen Versionen unterscheidbar.
• Es besteht Transparenz über die Entwicklungsgeschichte der Inhalte.</t>
  </si>
  <si>
    <t>• Kennzeichnung von Dokumentationsständen durch Versionsnummern oder Datumsangaben.
• Dokumentation von Änderungen und Freigaben.
• Nutzung von Tools oder Systemfunktionen zur Versionsverwaltung.
• Festlegung von Verantwortlichkeiten für die Versionierung.
• Regelmäßige Überprüfung und Weiterentwicklung der Versionierungsrichtlinien.</t>
  </si>
  <si>
    <t>• Versionierte Dokumente oder Module mit eindeutiger Kennzeichnung.
• Versionshistorien und Änderungsprotokolle.
• Freigabedokumente oder Release-Notes zur Dokumentation von Änderungen.
• Gültigkeitskennzeichnungen in Publikationen (z. B. Versionsnummern, Datum).</t>
  </si>
  <si>
    <t>• Die Mitarbeiter, die mit der Technischen Dokumentation vertraut sind, haben einen individuellen Überblick über die aktuelle Version der Dokumentation, mit der sie arbeiten</t>
  </si>
  <si>
    <r>
      <t xml:space="preserve">Werden </t>
    </r>
    <r>
      <rPr>
        <b/>
        <sz val="10"/>
        <color theme="1"/>
        <rFont val="Arial"/>
        <family val="2"/>
      </rPr>
      <t>gelegentlich</t>
    </r>
    <r>
      <rPr>
        <sz val="10"/>
        <color theme="1"/>
        <rFont val="Arial"/>
        <family val="2"/>
      </rPr>
      <t xml:space="preserve"> Absprachen über die Kennzeichnung der Version getroffen?</t>
    </r>
  </si>
  <si>
    <t>Ist die Unterscheidung der Versionen der Dokumentation auch für andere Mitarbeiter interpretierbar (z.B. über die Dateibenennung)?</t>
  </si>
  <si>
    <t>Ist ein definierter Prozess zur Versionierung von Dokumentationen vorhanden (z. B. eindeutige Versionsnummerierung, definierte Freigabeschritte)?</t>
  </si>
  <si>
    <t>Werden Versionsstände konsistent geführt und Änderungen systematisch dokumentiert?</t>
  </si>
  <si>
    <t>Gibt es Vorgaben oder Richtlinien zur Versionierung, die verbindlich angewendet werden?</t>
  </si>
  <si>
    <r>
      <t xml:space="preserve">Wird </t>
    </r>
    <r>
      <rPr>
        <b/>
        <sz val="10"/>
        <color theme="1"/>
        <rFont val="Arial"/>
        <family val="2"/>
      </rPr>
      <t>regelmäßig</t>
    </r>
    <r>
      <rPr>
        <sz val="10"/>
        <color theme="1"/>
        <rFont val="Arial"/>
        <family val="2"/>
      </rPr>
      <t xml:space="preserve"> systemseitige Unterstützung bei der Versionierung in Anspruch genommen?</t>
    </r>
  </si>
  <si>
    <r>
      <t xml:space="preserve">Wird die Einhaltung der Versionierungsregeln </t>
    </r>
    <r>
      <rPr>
        <b/>
        <sz val="10"/>
        <color theme="1"/>
        <rFont val="Arial"/>
        <family val="2"/>
      </rPr>
      <t>regelmäßig überprüft</t>
    </r>
    <r>
      <rPr>
        <sz val="10"/>
        <color theme="1"/>
        <rFont val="Arial"/>
        <family val="2"/>
      </rPr>
      <t>?</t>
    </r>
  </si>
  <si>
    <t>Unterstützen Tools oder Systeme aktiv die Versionierung (z. B. automatisierte Versionsverwaltung, Check-in/Check-out)?</t>
  </si>
  <si>
    <t>Besteht Transparenz darüber, welche Version zu welchem Zeitpunkt gültig ist und wer sie freigegeben hat?</t>
  </si>
  <si>
    <t>• Die Unterscheidung der Versionen der Dokumentation ist auch für andere Mitarbeiter interpretierbar
• Gelegentlich werden Absprachen über die Kennzeichnung der Version getroffen</t>
  </si>
  <si>
    <t>• Es ist ein definierter Prozess zur Versionierung von Dokumentationen vorhanden 
• Versionsstände werden konsistent geführt und Änderungen systematisch dokumentiert
• Es wird regelmäßig systemseitige Unterstützung bei der Versionierung in Anspruch genommen
• Es gibt Vorgaben oder Richtlinien zur Versionierung, die verbindlich angewendet werden</t>
  </si>
  <si>
    <t>Ist eine durchgängige Rückverfolgbarkeit von Versionen gewährleistet?</t>
  </si>
  <si>
    <t>• Die Einhaltung der Versionierungsregeln regelmäßig überprüft
• Tools oder Systeme unterstützen aktiv die Versionierung
• Es besteht Transparenz darüber, welche Version zu welchem Zeitpunkt gültig ist und wer sie freigegeben hat
• Es ist eine durchgängige Rückverfolgbarkeit von Versionen gewährleistet</t>
  </si>
  <si>
    <t>Werden innovative Ansätze wie automatisierte Änderungsverfolgung oder Integration mit Produktlebenszyklus-Systemen genutzt?</t>
  </si>
  <si>
    <t>Erfolgt eine proaktive Sicherstellung der Konsistenz und Nachvollziehbarkeit aller Versionen über Systeme hinweg?</t>
  </si>
  <si>
    <t>• Die Versionierung und die Nachverfolgbarkeit von Änderungen wird kontinuierlich verbessert
• Es erfolgt eine proaktive Sicherstellung der Konsistenz und Nachvollziehbarkeit aller Versionen über Systeme hinweg
• Innovative Ansätze wie automatisierte Änderungsverfolgung oder Integration mit Produktlebenszyklus-Systemen werden genutzt</t>
  </si>
  <si>
    <t>• Dokumentationsstände sind eindeutig abgelegt und auffindbar.
• Archivierte Versionen sind klar von aktuellen Versionen unterscheidbar.
• Aufbewahrungsfristen und rechtliche Anforderungen werden eingehalten.
• Zugriff und Nutzung archivierter Inhalte sind nachvollziehbar geregelt.</t>
  </si>
  <si>
    <t>• Systematische Ablage von Dokumentationsständen mit eindeutigen Bezeichnungen.
• Nutzung von Archivsystemen oder CMS-Funktionalitäten.
• Definition und Umsetzung von Regeln zur Aufbewahrung, Löschung und Sicherung.
• Regelmäßige Überprüfung der Zugänglichkeit und Integrität der archivierten Daten.
• Kontinuierliche Anpassung an neue rechtliche oder organisatorische Anforderungen.</t>
  </si>
  <si>
    <t>• Strukturierte Ablage (z. B. Ordnerstruktur, Datenbank, CMS).
• Archivsystem mit dokumentierten Regeln für Aufbewahrung und Löschung.
• Nachweise über Aufbewahrungsfristen und Löschungen.
• Zugriffsprotokolle und Dokumentationen der Archivierungsprozesse.</t>
  </si>
  <si>
    <r>
      <t xml:space="preserve">Werden erste Regeln zur Ablage und Archivierung </t>
    </r>
    <r>
      <rPr>
        <b/>
        <sz val="10"/>
        <color theme="1"/>
        <rFont val="Arial"/>
        <family val="2"/>
      </rPr>
      <t>dokumentiert</t>
    </r>
    <r>
      <rPr>
        <sz val="10"/>
        <color theme="1"/>
        <rFont val="Arial"/>
        <family val="2"/>
      </rPr>
      <t>?</t>
    </r>
  </si>
  <si>
    <r>
      <t xml:space="preserve">Ist eine zentrale Ablage vorhanden und wird diese </t>
    </r>
    <r>
      <rPr>
        <b/>
        <sz val="10"/>
        <color theme="1"/>
        <rFont val="Arial"/>
        <family val="2"/>
      </rPr>
      <t>gelegentlich</t>
    </r>
    <r>
      <rPr>
        <sz val="10"/>
        <color theme="1"/>
        <rFont val="Arial"/>
        <family val="2"/>
      </rPr>
      <t xml:space="preserve"> von den Mitarbeitenden verwendet?</t>
    </r>
  </si>
  <si>
    <t>Ist ein definierter Prozess für Ablage und Archivierung von Dokumentationen vorhanden?</t>
  </si>
  <si>
    <t>Werden Inhalte konsistent in einer zentralen Struktur oder einem System gespeichert?</t>
  </si>
  <si>
    <t>Bestehen verbindliche Vorgaben für Aufbewahrungsfristen und Zugriffsrechte?</t>
  </si>
  <si>
    <t>Unterstützen Systeme die Verwaltung von Zugriffsrechten, Versionen und Fristen?</t>
  </si>
  <si>
    <t>Sind archivierte Inhalte jederzeit nachvollziehbar und revisionssicher verfügbar?</t>
  </si>
  <si>
    <t>Werden rechtliche und organisatorische Anforderungen proaktiv in die Archivierung integriert und regelmäßig aktualisiert?</t>
  </si>
  <si>
    <t>Erfolgt eine automatisierte Archivierung auf Basis von Metadaten, Ereignissen oder Fristen?</t>
  </si>
  <si>
    <t>• Erfahrene Mitarbeiter legen Dokumente zu Archivierungszwecken lokal ab</t>
  </si>
  <si>
    <t>• Es ist eine zentrale Ablage vorhanden und wird diese gelegentlich von den Mitarbeitenden verwendet
• Es werden erste Regeln zur Ablage und Archivierung dokumentiert</t>
  </si>
  <si>
    <t>• Ein definierter Prozess für Ablage und Archivierung von Dokumentationen ist vorhanden
• Inhalte werden konsistent in einer zentralen Struktur oder einem System gespeichert
• Es bestehen verbindliche Vorgaben für Aufbewahrungsfristen und Zugriffsrechte</t>
  </si>
  <si>
    <t>• Die Einhaltung der Ablage- und Archivierungsregeln wird regelmäßig überprüft
• Systeme unterstützen die Verwaltung von Zugriffsrechten, Versionen und Fristen
• Archivierte Inhalte jederzeit nachvollziehbar und revisionssicher verfügbar</t>
  </si>
  <si>
    <t>• Rechtliche und organisatorische Anforderungen werden proaktiv in die Archivierung integriert und regelmäßig aktualisiert
• Es erfolgt eine automatisierte Archivierung auf Basis von Metadaten, Ereignissen oder Fristen
• Es erfolgt eine unternehmensweite Harmonisierung mit anderen Systemen zur ganzheitlichen Archivverwaltung</t>
  </si>
  <si>
    <t>Dokumentationsinhalte werden gezielt, konsistent und effizient veröffentlicht, verteilt und verwaltet. Ziel ist es, dass die richtigen Informationen zur richtigen Zeit, in geeigneter Form und für die passende Zielgruppe bereitgestellt werden.</t>
  </si>
  <si>
    <t>• Erstellung und Verwaltung von Publikationsworkflows.
• Systematische Freigabe vor der Veröffentlichung.
• Nutzung geeigneter Systeme oder Plattformen für Verwaltung und Bereitstellung.
• Sicherstellung der Konsistenz über verschiedene Ausgabekanäle hinweg.
• Regelmäßige Optimierung von Publikations- und Verwaltungsprozessen.</t>
  </si>
  <si>
    <t>• Veröffentlichte Dokumentationen (z. B. Print, PDF, Online-Hilfe, Portale, Apps).
• Freigabe- und Veröffentlichungsprotokolle.
• Publikationspläne oder -workflows.
• Verwaltungssysteme für Content (z. B. CMS, DMS, Portallösungen).</t>
  </si>
  <si>
    <t>• Die Dokumentation wird einmalig manuell nach dessen Fertigstellung publiziert</t>
  </si>
  <si>
    <t>Gibt es bereits erste dokumentierte Zeit- und Projektpläne für den Publikationsprozess?</t>
  </si>
  <si>
    <t>Sind Publikationsprozesse definiert und dokumentiert (z. B. mit Freigabe, Ausgabeformaten, Kanälen)?</t>
  </si>
  <si>
    <t>Werden Veröffentlichungen konsistent gesteuert und verwaltet?</t>
  </si>
  <si>
    <t>Bestehen zentrale Vorgaben für die Verwaltung und Auslieferung der Dokumentation?</t>
  </si>
  <si>
    <t>Sind Verantwortlichkeiten und Zuständigkeiten für den Publikationsprozess definiert und zugewiesen?</t>
  </si>
  <si>
    <r>
      <t xml:space="preserve">Wird die Einhaltung der Publikations- und Verwaltungsprozesse </t>
    </r>
    <r>
      <rPr>
        <b/>
        <sz val="10"/>
        <color theme="1"/>
        <rFont val="Arial"/>
        <family val="2"/>
      </rPr>
      <t>regelmäßig überprüft</t>
    </r>
    <r>
      <rPr>
        <sz val="10"/>
        <color theme="1"/>
        <rFont val="Arial"/>
        <family val="2"/>
      </rPr>
      <t>?</t>
    </r>
  </si>
  <si>
    <t>Wird der Publikationsprozess mithilfe von Kennzahlen gesteuert?</t>
  </si>
  <si>
    <t>Unterstützen Systeme (z. B. CMS, Portale) aktiv die Verwaltung und Auslieferung der Inhalte?</t>
  </si>
  <si>
    <t>Besteht Transparenz über Veröffentlichungszeitpunkte, Zuständigkeiten und Zielgruppen?</t>
  </si>
  <si>
    <t>Werden innovative Technologien eingesetzt (z. B. vollautomatisierte Publikation)?</t>
  </si>
  <si>
    <t>Werden Publikationen regelmäßig nach individuellen Abläufen oder Projektstandards erstellt?</t>
  </si>
  <si>
    <t>• Publikationen werden regelmäßig nach individuellen Abläufen oder Projektstandards erstellt
• Es gibt bereits erste dokumentierte Zeit- und Projektpläne für den Publikationsprozess</t>
  </si>
  <si>
    <t>• Publikationsprozesse sind definiert und dokumentier
• Verantwortlichkeiten und Zuständigkeiten für den Publikationsprozess sind definiert und zugewiesen
• Veröffentlichungen werden konsistent gesteuert und verwaltet
• Es bestehen zentrale Vorgaben für die Verwaltung und Auslieferung der Dokumentation</t>
  </si>
  <si>
    <t>• Die Einhaltung der Publikations- und Verwaltungsprozesse wird regelmäßig überprüft
• Der Publikationsprozess mithilfe von Kennzahlen gesteuert
• Systeme unterstützen aktiv die Verwaltung und Auslieferung der Inhalte
• Es besteht Transparenz über Veröffentlichungszeitpunkte, Zuständigkeiten und Zielgruppen</t>
  </si>
  <si>
    <t xml:space="preserve">• Publikations- und Verwaltungsprozesse werden kontinuierlich verbessert und an neue Anforderungen angepasst
• Innovative Technologien werden eingesetzt </t>
  </si>
  <si>
    <t>• Zugriffsrechte sind klar definiert und nach Rollen oder Nutzergruppen zugewiesen.
• Nur autorisierte Personen können sensible oder interne Inhalte einsehen.
• Es ist nachvollziehbar, wer wann auf welche Inhalte zugegriffen hat.
• Dokumentationszugriffe sind effizient, sicher und zielgruppenorientiert organisiert.</t>
  </si>
  <si>
    <t>• Rollen- und Berechtigungskonzepte.
• Benutzer- und Gruppenrichtlinien.
• Protokolle über Zugriffe, Freigaben und Änderungen.
• Systemeinstellungen im CMS, DMS oder Portal zum Rechte- und Rollenmanagement.</t>
  </si>
  <si>
    <t>• Definition und Verwaltung von Rollen, Rechten und Zugriffsprofilen.
• Technische Umsetzung des Berechtigungsmanagements in Systemen.
• Regelmäßige Überprüfung und Aktualisierung der Berechtigungen.
• Sicherstellung der Einhaltung rechtlicher Vorgaben (z. B. Datenschutz, Exportkontrolle).
• Kontinuierliche Optimierung durch Automatisierung oder Integration mit anderen Systemen (z. B. ERP, PLM).</t>
  </si>
  <si>
    <t>• Alle Personen können auf alle Inhalte zugreifen</t>
  </si>
  <si>
    <t>Existiert ein definiertes und dokumentiertes Rollen- und Berechtigungskonzept?</t>
  </si>
  <si>
    <t>Sind Zugriffsrechte konsistent im System umgesetzt und werden systematisch vergeben?</t>
  </si>
  <si>
    <t>Erfolgt eine klare Unterscheidung zwischen internen, externen und öffentlichen Inhalten?</t>
  </si>
  <si>
    <t>Ist jederzeit nachvollziehbar, wer auf welche Inhalte zugegriffen hat (Logging)?</t>
  </si>
  <si>
    <r>
      <t xml:space="preserve">Wird die Einhaltung des Zugriffsmanagements </t>
    </r>
    <r>
      <rPr>
        <b/>
        <sz val="10"/>
        <color theme="1"/>
        <rFont val="Arial"/>
        <family val="2"/>
      </rPr>
      <t>regelmäßig überprüft</t>
    </r>
    <r>
      <rPr>
        <sz val="10"/>
        <color theme="1"/>
        <rFont val="Arial"/>
        <family val="2"/>
      </rPr>
      <t xml:space="preserve"> (z. B. durch Audits oder Protokollauswertungen)?</t>
    </r>
  </si>
  <si>
    <t>Werden innovative Technologien wie Single-Sign-On, adaptive Zugriffssteuerung oder KI-gestützte Anomalieerkennung genutzt?</t>
  </si>
  <si>
    <t>Erfolgt das Zugriffsmanagement dynamisch mit Personalisierung?</t>
  </si>
  <si>
    <t>Erfolgt eine unternehmensweite Integration des Zugriffsmanagements mit anderen Systemen?</t>
  </si>
  <si>
    <t>• Ein definiertes und dokumentiertes Rollen- und Berechtigungskonzept existiert
• Zugriffsrechte sind konsistent im System umgesetzt und werden systematisch vergeben
• Es erfolgt eine klare Unterscheidung zwischen internen, externen und öffentlichen Inhalten</t>
  </si>
  <si>
    <t>• Erste Nutzergruppen oder Dateiberechtigungen sind definiert
• Das Zugriffsmanagement wird gelegentlich über diese Gruppen oder Berechtigungen gesteuert
• Zugriffe werden fallweise geregelt</t>
  </si>
  <si>
    <t>• Es ist jederzeit nachvollziehbar, wer auf welche Inhalte zugegriffen hat (Logging)
• Die Einhaltung des Zugriffsmanagements wird regelmäßig überprüft (z. B. durch Audits oder Protokollauswertungen)
• Systeme zur Verwaltung von Berechtigungen werden aktiv genutzt</t>
  </si>
  <si>
    <t>• Innovative Technologien wie Single-Sign-On, adaptive Zugriffssteuerung oder KI-gestützte Anomalieerkennung werden eingesetzt
• Das Zugriffsmanagement ist unternehmensweit mit anderen Systemen integriert
• Das Zugriffsmanagement erfolgt dynamisch mit Personalisierung</t>
  </si>
  <si>
    <t>• Festlegung der kleinsten Informationseinheit (Dokument, Modul, Topic).
• Strukturierung von Inhalten nach wiederverwendbaren Bausteinen.
• Nutzung von Metadaten und Taxonomien zur gezielten Bereitstellung.
• Implementierung von Systemen zur Verwaltung granularer Inhalte (z. B. CCMS).
• Kontinuierliche Anpassung der Granularität an Nutzer- und Systemanforderungen.</t>
  </si>
  <si>
    <t>• Dokumentationsinhalte in der jeweils definierten Granularität (z. B. PDF, XML-Dateien, modulare Topics).
• Klassifikationen und Metadaten, die den Zugriff auf verschiedene Granularitätsebenen ermöglichen.
• Richtlinien zur Strukturierung und Modularisierung.
• Systemeinstellungen oder Plattformen, die den granularen Zugriff steuern (z. B. CMS, Portale, APIs).</t>
  </si>
  <si>
    <t>Ist die Dokumentation in Modulen verfügbar, die einzeln zugänglich sind?</t>
  </si>
  <si>
    <t>Unterstützt die Informationsarchitektur die Wiederverwendung einzelner Module?</t>
  </si>
  <si>
    <t>Gibt es definierte Standards für die Modularisierung?</t>
  </si>
  <si>
    <t>Besteht eine klare Metadatenstruktur, die den gezielten Zugriff auf einzelne Topics erlaubt?</t>
  </si>
  <si>
    <t>Können Inhalte auf feinster Ebene (z. B. Datenobjekte, Informationselemente) zielgerichtet abgerufen werden?</t>
  </si>
  <si>
    <t>Wird die Granularität kontinuierlich an neue Anforderungen (z. B. IoT, Digital Twin, AR/VR) angepasst?</t>
  </si>
  <si>
    <t>Verfügen die Elemente über Semantik und beziehen sie sich auf Konzepte einer Ontologie?</t>
  </si>
  <si>
    <t>Bestehen vereinzelte Möglichkeiten, Inhalte unabhängig vom Gesamtdokument zu verwenden?</t>
  </si>
  <si>
    <t>Erfolgt die Bereitstellung technischer Dokumente in einem elektronischen Format, das elektronisch zugänglich ist oder einfach und zuverlässig in ein solches Format umgewandelt werden kann (z.B. PDF)?</t>
  </si>
  <si>
    <t>• Die Bereitstellung technischer Dokumente erfolgt in einem elektronischen Format, das elektronisch zugänglich ist oder einfach und zuverlässig in ein solches Format umgewandelt werden kann</t>
  </si>
  <si>
    <t>• Die technische Dokumentation ist in einem strukturierten und nicht-proprietären Format (z. B. XML) zugänglich
• Es bestehen vereinzelte Möglichkeiten, Inhalte unabhängig vom Gesamtdokument zu verwenden</t>
  </si>
  <si>
    <t>• Die Dokumentation ist in Modulen verfügbar, die einzeln zugänglich sind
• Die Informationsarchitektur unterstützt die Wiederverwendung einzelner Module
• Es gibt definierte Standards für die Modularisierung</t>
  </si>
  <si>
    <t>• Die Module sind über Identifikatoren (z. B. URIs) eindeutig zugänglich
• Eine klare Metadatenstruktur erlaubt den gezielten Zugriff auf einzelne Topics
• Systeme (z. B. CCMS) unterstützen die Verwaltung und Auslieferung granularer Inhalte</t>
  </si>
  <si>
    <t>• Inhalte können auf feinster Ebene (z. B. Datenobjekte, Informationselemente) zielgerichtet abgerufen werden
• Die Elemente verfügen über Semantik und beziehen sich auf Konzepte einer Ontologie
• Die Granularität wird kontinuierlich an neue Anforderungen (z. B. IoT, Digital Twin, AR/VR) angepasst</t>
  </si>
  <si>
    <t>Content Delivery - Kanäle und Plattformen</t>
  </si>
  <si>
    <t>Kanäle und Plattformen</t>
  </si>
  <si>
    <t>Medien, Systeme und Ausgabekanäle über die die Dokumentationsinhalte bereitgestellt werden. Ziel ist es, dass die Inhalte zielgruppen- und kontextspezifisch auf den jeweils passenden Plattformen verfügbar sind.</t>
  </si>
  <si>
    <t>• Inhalte sind in einem definierten Grad über verschiedene Kanäle verfügbar.
• Die Kanäle sind konsistent aufeinander abgestimmt (keine widersprüchlichen Informationsstände).
• Plattformen unterstützen eine nutzerorientierte Auslieferung.
• Neue Kanäle und Technologien (z. B. AR/VR, IoT, Digital Twin) können flexibel integriert werden.</t>
  </si>
  <si>
    <t>• Publikation in einem einzelnen Kanal ohne Synchronisierung.
• Bereitstellung in mehreren Kanälen (z. B. Print + PDF), jedoch ohne Integration.
• Systematische Mehrkanalpublikation auf Basis modularer Inhalte.
• Einsatz von Portalen oder Headless-Delivery-Ansätzen für kontextsensitive Nutzung.
• Omnichannel-Strategie mit dynamischer Ausspielung, Vernetzung und API-First-Ansatz.</t>
  </si>
  <si>
    <t>• Publikationen in einem oder mehreren Kanälen (z. B. Print, PDF, Portal).
• Richtlinien zur Nutzung und Pflege von Ausgabekanälen.
• Metadatenmodelle oder Steuerungsmechanismen für Mehrkanal- oder kontextsensitive Ausspielung.
• Plattformen oder Systeme zur zentralen Verwaltung und Publikation (z. B. CCMS, Headless CMS).
• Schnittstellen oder APIs zur Integration von Inhalten in externe Systeme oder neue Plattformen.</t>
  </si>
  <si>
    <t>Ist die Pflege der Inhalte zentralisiert, sodass Konsistenz über alle Kanäle hinweg gewährleistet ist?</t>
  </si>
  <si>
    <t>Erfolgt die Ausspielung der Inhalte kontextspezifisch über Plattformen (z. B. Portal, App)?</t>
  </si>
  <si>
    <t>Gibt es eine Omnichannel-Strategie, die Inhalte konsistent und dynamisch über alle relevanten Kanäle hinweg ausliefert?</t>
  </si>
  <si>
    <t>Wird die Nutzung der Kanäle regelmäßig erfasst und dokumentiert?</t>
  </si>
  <si>
    <t>Werden die Nutzungsdaten systematisch ausgewertet, um Kanäle und Plattformen gezielt weiterzuentwickeln?</t>
  </si>
  <si>
    <t>Werden Nutzungsdaten automatisiert in den Redaktionsprozess zurückgeführt und für kontinuierliche Optimierung (z. B. KI-gestützt) genutzt?</t>
  </si>
  <si>
    <t>• Individuelle Kanäle werden für die Veröffentlichung verwendet</t>
  </si>
  <si>
    <t>• Erste Absprachen über die zu verwendenden Kanäle zur Publikation bestehen
• Inhalte werden in mehreren Kanälen bereitgestellt (z. B. Print, PDF, Website), wobei die Pflege in den unterschiedlichen Kanälen unabhängig voneinander erfolgt</t>
  </si>
  <si>
    <t>• Die Pflege der Inhalte ist zentralisiert, sodass Konsistenz über alle Kanäle hinweg gewährleistet ist
• Die Nutzung der Kanäle wird regelmäßig erfasst und dokumentiert</t>
  </si>
  <si>
    <t>• Die Ausspielung der Inhalte erfolgt kontextspezifisch über Plattformen (z. B. Portal, App)
• Nutzungsdaten werden systematisch ausgewertet, um Kanäle und Plattformen gezielt weiterzuentwickeln</t>
  </si>
  <si>
    <t>• Es existiert eine Omnichannel-Strategie, die Inhalte konsistent und dynamisch über alle relevanten Kanäle hinweg ausliefert
• Nutzungsdaten werden automatisiert in den Redaktionsprozess zurückgeführt und für kontinuierliche Optimierung (z. B. KI-gestützt) genutzt
• Inhalte werden über APIs oder Schnittstellen in externe Systeme integriert und sind flexibel auf neuen Plattformen nutzbar</t>
  </si>
  <si>
    <t>• Die Zielgruppen sind klar identifiziert und beschrieben.
• Informationsbedürfnisse und Nutzungskontexte der Zielgruppen sind dokumentiert.
• Dokumentationsinhalte sind an den Bedürfnissen der Zielgruppen ausgerichtet.
• Erkenntnisse aus Zielgruppenanalysen werden regelmäßig aktualisiert und in die Dokumentation zurückgeführt.</t>
  </si>
  <si>
    <t>• Identifikation der relevanten Zielgruppen.
• Erhebung von Anforderungen und Nutzungssituationen.
• Systematische Analyse und Dokumentation der Zielgruppenbedürfnisse.
• Integration der Ergebnisse in den Redaktionsprozess.
• Kontinuierliche Evaluation und Anpassung durch Feedback- und Trackingdaten</t>
  </si>
  <si>
    <t>• Zielgruppenprofile oder Personas.
• Bedarfs- und Nutzungsszenarien.
• Anforderungen der Zielgruppen an Inhalte und Medien.
• Auswertungen von Nutzerfeedback oder Nutzungstracking.
• Richtlinien zur zielgruppengerechten Dokumentation.</t>
  </si>
  <si>
    <t>Sind die Zielgruppen grundsätzlich bekannt?</t>
  </si>
  <si>
    <t>Wird eine grobe Zielgruppeneinteilung (z.B. "Wartungspersonal") und eine erste Einschätzung zu deren Informationsbedürfnissen vorgenommen?</t>
  </si>
  <si>
    <t>Werden Zielgruppen systematisch analysiert (z. B. durch Interviews, Workshops)?</t>
  </si>
  <si>
    <t>Liegen dokumentierte Zielgruppenprofile oder Personas vor?</t>
  </si>
  <si>
    <t>Sind die typischen Nutzungsszenarien der Zielgruppen bekannt und beschrieben?</t>
  </si>
  <si>
    <t>Werden die Erkenntnisse über Zielgruppen aktiv genutzt, um Inhalte und Medienauswahl zu steuern?</t>
  </si>
  <si>
    <t>Gibt es verbindliche Richtlinien oder Leitfäden, die die zielgruppengerechte Aufbereitung der Dokumentation sicherstellen?</t>
  </si>
  <si>
    <t>Werden Dokumentationsinhalte kontinuierlich an veränderte Zielgruppenbedürfnisse angepasst?</t>
  </si>
  <si>
    <r>
      <t xml:space="preserve">Wird Zielgruppenwissen </t>
    </r>
    <r>
      <rPr>
        <b/>
        <sz val="10"/>
        <color theme="1"/>
        <rFont val="Arial"/>
        <family val="2"/>
      </rPr>
      <t>regelmäßig aktualisiert</t>
    </r>
    <r>
      <rPr>
        <sz val="10"/>
        <color theme="1"/>
        <rFont val="Arial"/>
        <family val="2"/>
      </rPr>
      <t>?</t>
    </r>
  </si>
  <si>
    <t>Sind kulturelle Nuancen auf internationalen Märkten bekannt und fließen in die Dokumentation ein?</t>
  </si>
  <si>
    <t>Werden Daten aus Nutzungstracking und Feedback systematisch ausgewertet, um die Zielgruppenkenntnis zu vertiefen? Ist diese Zielgruppenanalyse Teil des Content Lifecycles?</t>
  </si>
  <si>
    <t>• Die Inhalte basieren auf Annahmen und individuellem Erfahrungswissen der einzelnen Mitarbeiter bezüglich der Zielgruppe der Dokumentation</t>
  </si>
  <si>
    <t>• Die Zielgruppen sind grundsätzlich bekannt
• Eine grobe Zielgruppeneinteilung (z. B. „Wartungspersonal“) und eine erste Einschätzung zu deren Informationsbedürfnissen wird vorgenommen</t>
  </si>
  <si>
    <t>• Zielgruppen werden systematisch analysiert (z. B. durch Interviews, Workshops)
• Dokumentierte Zielgruppenprofile oder Personas liegen vor
• Die typischen Nutzungsszenarien der Zielgruppen sind bekannt und beschrieben</t>
  </si>
  <si>
    <t>• Die Erkenntnisse über Zielgruppen werden aktiv genutzt, um Inhalte und Medienauswahl zu steuern
• Verbindliche Richtlinien oder Leitfäden stellen die zielgruppengerechte Aufbereitung der Dokumentation sicher
• Kulturelle Nuancen auf internationalen Märkten sind bekannt und fließen in die Dokumentation ein
• Zielgruppenwissen wird regelmäßig aktualisiert</t>
  </si>
  <si>
    <t>• Daten aus Nutzungstracking und Feedback werden systematisch ausgewertet, um die Zielgruppenkenntnis zu vertiefen
• diese Zielgruppenanalyse ist Teil des Content Lifecycles
• Es gibt einen etablierten Prozess zur Rückkopplung von Zielgruppenwissen in den Redaktionsprozess
• Dokumentationsinhalte werden kontinuierlich an veränderte Zielgruppenbedürfnisse angepasst</t>
  </si>
  <si>
    <t>Werden auf Grundlage des bestimmungsgemäßen Gebrauchs Versuche vorgenommen, die Nutzersicht zu berücksichtigen (=Nutzerorientierung)?</t>
  </si>
  <si>
    <t>Die Nutzerzentrierung beschreibt, inwieweit die Erstellung und Gestaltung der technischen Dokumentation konsequent an den Bedürfnissen, Erwartungen und Nutzungskontexten der Anwender:innen ausgerichtet ist. Ziel ist es, Inhalte so bereitzustellen, dass sie für die Zielgruppen verständlich, effizient nutzbar und hilfreich sind.</t>
  </si>
  <si>
    <t>• Dokumentation wird aus Sicht der Nutzer:innen konzipiert und strukturiert.
• Inhalte sind verständlich, handlungsorientiert und unterstützen typische Nutzungssituationen.
• Anforderungen der Nutzer:innen sind in den Redaktionsprozess integriert.
• Rückmeldungen und Nutzungsdaten fließen kontinuierlich in die Verbesserung ein.</t>
  </si>
  <si>
    <t>• Analyse von Nutzerbedürfnissen und -erwartungen.
• Gestaltung der Dokumentation entlang von Nutzungsszenarien und Aufgaben.
• Entwicklung konsistenter Vorgaben zur nutzerzentrierten Aufbereitung.
• Einbindung von Nutzerfeedback in die Weiterentwicklung.
• Kontinuierliche Anpassung der Dokumentation an sich verändernde Nutzungssituationen.</t>
  </si>
  <si>
    <t>• Nutzeranforderungen (z. B. Aufgaben, Informationsbedarfe).
• Strukturen und Inhaltskonzepte, die auf Nutzeraufgaben basieren.
• Styleguides oder Redaktionsleitfäden mit nutzerzentrierten Vorgaben.
• Feedback- und Trackingauswertungen, die zur Anpassung der Inhalte dienen.</t>
  </si>
  <si>
    <t>Orientieren sich die Inhalte am Nutzungskontext (z.B. Aufgaben, Vorwissen)?</t>
  </si>
  <si>
    <t>Sind Vorgaben zur Nutzerzentrierung dokumentiert (z. B. im Redaktionsleitfaden)?</t>
  </si>
  <si>
    <t>Wird der Informationsbedarf systematisch ermittelt und in die Planung integriert?</t>
  </si>
  <si>
    <t>Wird der Fokus auf die Nutzer:innen im Moment des Informationsbedarfs (=Nutzerzentrierung) gesetzt?</t>
  </si>
  <si>
    <t>Erfolgt eine erweiterte Nutzerzentrierung durch ontologische Beschreibung des Produkts und aktive Erweiterung der Ontologie durch neues Wissen (z.B. bei der Behebung bisher unbekannter Fehler)?</t>
  </si>
  <si>
    <t>Umfasst der Nutzerkreis nicht mehr nur Menschen, sondern auch Maschinen? Ist die Dokumentation darauf ausgerichtet?</t>
  </si>
  <si>
    <t>• Inhalte werden aus Hersteller- oder Entwicklerperspektive verfasst
• Der Fokus liegt auf dem zu dokumentierenden Produkt</t>
  </si>
  <si>
    <t>• Auf Grundlage des bestimmungsgemäßen Gebrauchs werden Versuche unternommen, die Nutzersicht zu berücksichtigen (Nutzerorientierung)
• Einzelne Hinweise oder Erfahrungen der Nutzer:innen fließen in die Dokumentation ein</t>
  </si>
  <si>
    <t>• Die Inhalte orientieren sich am Nutzungskontext (z. B. Aufgaben, Vorwissen)
• Vorgaben zur Nutzerzentrierung sind dokumentiert (z. B. im Redaktionsleitfaden)</t>
  </si>
  <si>
    <t>• Der Informationsbedarf wird systematisch ermittelt und in die Planung integriert
• Der Fokus wird auf die Nutzer:innen im Moment des Informationsbedarfs gesetzt (Nutzerzentrierung)</t>
  </si>
  <si>
    <t>• Eine erweiterte Nutzerzentrierung erfolgt durch ontologische Beschreibung des Produkts und aktive Erweiterung der Ontologie durch neues Wissen (z. B. bei der Behebung bisher unbekannter Fehler)
• Der Nutzerkreis umfasst nicht nur Menschen, sondern auch Maschinen, und die Dokumentation ist darauf ausgerichtet</t>
  </si>
  <si>
    <t>Nutzerfreundlichkeit (Usability /Operability)</t>
  </si>
  <si>
    <t>Die Nutzerfreundlichkeit beschreibt, wie verständlich, zugänglich und effizient die Dokumentation von den Zielgruppen genutzt werden kann. Ziel ist es, dass Inhalte schnell auffindbar, leicht verständlich und ohne unnötigen Aufwand nutzbar sind.</t>
  </si>
  <si>
    <t>Werden grundlegende Aspekte der Verständlichkeit berücksichtigt (z. B. einfache Sprache, kurze Sätze)?</t>
  </si>
  <si>
    <t>Werden erste Gestaltungsrichtlinien gesammelt und dokumentiert, die die Nutzung vereinfachen?</t>
  </si>
  <si>
    <t>Liegen definierte Standards für Struktur, Sprache und Gestaltung der Dokumentation vor?</t>
  </si>
  <si>
    <t>Werden unterstützende Medien eingesetzt, um die Verständlichkeit zu verbessern?</t>
  </si>
  <si>
    <t>Wird die Nutzerfreundlichkeit regelmäßig geprüft (z. B. durch interne Reviews)?</t>
  </si>
  <si>
    <t>Ist die Nutzerfreundlichkeit ein fester Bestandteil des Redaktionsprozesses?</t>
  </si>
  <si>
    <t>Erfolgt die Überprüfung der Nutzerfreundlichkeit systematisch mit Nutzenden (z. B. Usability-Tests)?</t>
  </si>
  <si>
    <t>Wird Feedback aus der Nutzung gezielt genutzt, um Struktur, Layout und Sprache zu verbessern?</t>
  </si>
  <si>
    <t>Werden Nutzungsdaten (z. B. Suchverhalten, Klickpfade, Fehlermeldungen) kontinuierlich ausgewertet, um die Nutzerfreundlichkeit zu verbessern?</t>
  </si>
  <si>
    <t>Erfolgt eine proaktive Weiterentwicklung der Dokumentation auf Basis neuer Erkenntnisse zur Usability?</t>
  </si>
  <si>
    <t>• Inhalte sind klar strukturiert, verständlich formuliert und leicht auffindbar.
• Layout, Visualisierungen und Navigation unterstützen die Nutzung.
• Inhalte reduzieren Komplexität und fördern Handlungsorientierung.
• Nutzerfreundlichkeit wird regelmäßig überprüft und verbessert.</t>
  </si>
  <si>
    <t>• Gestaltung verständlicher und klarer Inhalte.icherstellung einer konsistenten Struktur und Navigation.
• Einsatz von unterstützenden Medien (z. B. Bilder, Videos, Infografiken).
• Systematische Prüfung der Nutzerfreundlichkeit (z. B. Tests, Feedback, Tracking).
• Kontinuierliche Verbesserung auf Basis von Evaluation und Rückmeldungen.</t>
  </si>
  <si>
    <t>• Struktur- und Navigationskonzepte.
• Styleguides und Vorgaben zur sprachlichen Vereinfachung und Visualisierung.
• Nutzerfeedback zu Verständlichkeit und Handhabbarkeit.
• Ergebnisse aus Usability-Tests oder Nutzungsanalysen.</t>
  </si>
  <si>
    <t>• Die Verständlichkeit und Nutzbarkeit der Dokumentation ist abhängig von der Person, die sie erstellt</t>
  </si>
  <si>
    <t>• Grundlegende Aspekte der Verständlichkeit (z. B. einfache Sprache, kurze Sätze) werden berücksichtigt
• Erste Gestaltungsrichtlinien werden gesammelt und dokumentiert, die die Nutzung vereinfachen</t>
  </si>
  <si>
    <t>• Definierte Standards für Struktur, Sprache und Gestaltung der Dokumentation liegen vor
• Unterstützende Medien werden eingesetzt, um die Verständlichkeit zu verbessern
• Die Nutzerfreundlichkeit wird regelmäßig geprüft (z. B. durch interne Reviews)</t>
  </si>
  <si>
    <t>• Die Nutzerfreundlichkeit ist ein fester Bestandteil des Redaktionsprozesses
• Die Überprüfung der Nutzerfreundlichkeit erfolgt systematisch mit Nutzenden (z. B. Usability-Tests)
• Feedback aus der Nutzung wird gezielt genutzt, um Struktur, Layout und Sprache zu verbessern</t>
  </si>
  <si>
    <t>• Nutzungsdaten (z. B. Suchverhalten, Klickpfade, Fehlermeldungen) werden kontinuierlich ausgewertet, um die Nutzerfreundlichkeit zu verbessern
• Eine proaktive Weiterentwicklung der Dokumentation erfolgt auf Basis neuer Erkenntnisse zur Usability</t>
  </si>
  <si>
    <t>Die Feedbackintegration beschreibt, in welchem Maß Rückmeldungen von Nutzer:innen und Stakeholdern systematisch erfasst, ausgewertet und in die Weiterentwicklung der Dokumentation integriert werden. Ziel ist es, die Qualität und Relevanz der Inhalte kontinuierlich durch Rückkopplung zu verbessern.</t>
  </si>
  <si>
    <r>
      <t xml:space="preserve">Gibt es </t>
    </r>
    <r>
      <rPr>
        <b/>
        <sz val="10"/>
        <color theme="1"/>
        <rFont val="Arial"/>
        <family val="2"/>
      </rPr>
      <t>gelegentliche</t>
    </r>
    <r>
      <rPr>
        <sz val="10"/>
        <color theme="1"/>
        <rFont val="Arial"/>
        <family val="2"/>
      </rPr>
      <t xml:space="preserve"> Rückmeldungen über Support- oder Vertriebskanäle?</t>
    </r>
  </si>
  <si>
    <t>Werden hauptsächlich lediglich Beschwerden adressiert?</t>
  </si>
  <si>
    <t>Wird das Feedback gesammelt?</t>
  </si>
  <si>
    <t>Wird Feedback aktiv erfragt (z.B. Umfragen)?</t>
  </si>
  <si>
    <t>Erfolgt eine systematische Auswertung und Priorisierung der Rückmeldungen? Wird auf dieser Grundlage Feedback selektiv adressiert (z.B. bei Problemen)?</t>
  </si>
  <si>
    <r>
      <t xml:space="preserve">Fließt Feedback </t>
    </r>
    <r>
      <rPr>
        <b/>
        <sz val="10"/>
        <color theme="1"/>
        <rFont val="Arial"/>
        <family val="2"/>
      </rPr>
      <t>regelmäßig</t>
    </r>
    <r>
      <rPr>
        <sz val="10"/>
        <color theme="1"/>
        <rFont val="Arial"/>
        <family val="2"/>
      </rPr>
      <t xml:space="preserve"> in die Überarbeitung der Dokumentation ein?</t>
    </r>
  </si>
  <si>
    <t>Gibt es klar definierte Prozesse, wie Feedback in die Dokumentation einfließt?</t>
  </si>
  <si>
    <t>Werden alle Aspekte der Rückmeldungen adressiert?</t>
  </si>
  <si>
    <t>Erfolgt eine Rückmeldung an die Feedbackgebenden über umgesetzte Maßnahmen?</t>
  </si>
  <si>
    <t>Werden Feedbackdaten mit Nutzungsdaten (z. B. Tracking, Analysen) kombiniert, um Verbesserungen gezielt abzuleiten?</t>
  </si>
  <si>
    <t xml:space="preserve">Sind kontinuierliche, KI-gestützte oder automatisierte Feedbackschleifen etabliert? </t>
  </si>
  <si>
    <t>• Feedbackquellen sind identifiziert und etabliert.
• Rückmeldungen werden systematisch gesammelt und dokumentiert.
• Feedback fließt nachvollziehbar in Anpassungen der Dokumentation ein.
• Ergebnisse der Feedbackauswertung werden regelmäßig überprüft und an Stakeholder zurückgespielt.</t>
  </si>
  <si>
    <t>• Einrichtung von Feedback-Kanälen.
• Sammlung und Strukturierung von Rückmeldungen.
• Systematische Auswertung und Priorisierung.
• Ableitung und Umsetzung von Maßnahmen.
• Rückkopplung der Ergebnisse an Nutzer:innen und Stakeholder</t>
  </si>
  <si>
    <t>• Feedback-Kanäle (z. B. Formulare, Support-Anfragen, Communities).
• Dokumentierte Rückmeldungen aus verschiedenen Quellen.
• Auswertungsberichte oder Protokolle zu Feedbackrunden.
• Anpassungen in der Dokumentation basierend auf Rückmeldungen.
• Richtlinien zur systematischen Feedbackbearbeitung.</t>
  </si>
  <si>
    <t>• Feedback erreicht die Redaktion vereinzelt über Dritte (z. B. Projektleiter der Entwicklung)
• Feedback wird nach individuellem Ermessen adressiert</t>
  </si>
  <si>
    <t>• Es gibt gelegentliche Rückmeldungen über Support- oder Vertriebskanäle
• Feedback wird gesammelt
• Hauptsächlich werden lediglich Beschwerden adressiert</t>
  </si>
  <si>
    <t>• Feedback wird aktiv erfragt (z. B. Umfragen)
• Rückmeldungen werden systematisch ausgewertet und priorisiert, wobei Feedback selektiv adressiert wird (z. B. bei Problemen)
• Feedback fließt regelmäßig in die Überarbeitung der Dokumentation ein</t>
  </si>
  <si>
    <t>• Es gibt klar definierte Prozesse, wie Feedback in die Dokumentation einfließt
• Die Ergebnisse der Feedbackauswertung werden regelmäßig überprüft
• Alle Aspekte der Rückmeldungen werden adressiert
• Eine Rückmeldung über umgesetzte Maßnahmen erfolgt an die Feedbackgebenden</t>
  </si>
  <si>
    <t>• Feedbackdaten werden mit Nutzungsdaten (z. B. Tracking, Analysen) kombiniert, um Verbesserungen gezielt abzuleiten
• Kontinuierliche, KI-gestützte oder automatisierte Feedbackschleifen sind etabliert</t>
  </si>
  <si>
    <r>
      <t xml:space="preserve">Werden die Ergebnisse der Feedbackauswertung </t>
    </r>
    <r>
      <rPr>
        <b/>
        <sz val="10"/>
        <color theme="1"/>
        <rFont val="Arial"/>
        <family val="2"/>
      </rPr>
      <t>regelmäßig überprüft</t>
    </r>
    <r>
      <rPr>
        <sz val="10"/>
        <color theme="1"/>
        <rFont val="Arial"/>
        <family val="2"/>
      </rPr>
      <t>?</t>
    </r>
  </si>
  <si>
    <t>Existieren erste Ablagestrukturen (z.B. Dateiordner, SharePoint) mit individueller Struktur?</t>
  </si>
  <si>
    <r>
      <t xml:space="preserve">Wird implizites Wissen </t>
    </r>
    <r>
      <rPr>
        <b/>
        <sz val="10"/>
        <color theme="1"/>
        <rFont val="Arial"/>
        <family val="2"/>
      </rPr>
      <t>gelegentlich</t>
    </r>
    <r>
      <rPr>
        <sz val="10"/>
        <color theme="1"/>
        <rFont val="Arial"/>
        <family val="2"/>
      </rPr>
      <t xml:space="preserve"> dokumentiert?</t>
    </r>
  </si>
  <si>
    <t>Wird Wissen systematisch dokumentiert und in festen Formaten abgelegt?</t>
  </si>
  <si>
    <t>Existieren organisatorisch geregelte Ablagen (z. B. zentrale Dateiablage, Wiki)?</t>
  </si>
  <si>
    <t>Ist Wissen für beteiligte Rollen auffindbar und nachvollziehbar (Zugriffsrechte, Versionierung)?</t>
  </si>
  <si>
    <t>Werden zentrale Systeme (z. B. DMS, Wissensdatenbanken) für die Wissensspeicherung genutzt?</t>
  </si>
  <si>
    <t>Gibt es definierte Prozesse, um Wissen regelmäßig zu aktualisieren?</t>
  </si>
  <si>
    <t>Ist der Zugriff auf gespeichertes Wissen für alle relevanten Beteiligten gewährleistet?</t>
  </si>
  <si>
    <t>Ist die Speicherung taxonomiebasiert und zielt sie auf den nachhaltigen Wissensaufbau ab?</t>
  </si>
  <si>
    <t>Unterstützen innovative Technologien das Wissensmanagement (z.B. KI-gestützte Wissensverknüpfung)?</t>
  </si>
  <si>
    <t>Befindet sich das Wissen der Organisation in semantischen Netzwerken (z.B. Ontologie)? Ist es mit den Organisationssystemen vernetzt (z.B. ERP)?</t>
  </si>
  <si>
    <t>Werden Wissenssysteme kontinuierlich gepflegt und proaktiv erweitert?</t>
  </si>
  <si>
    <t>Die Wissensspeicherung beschreibt, in welchem Maße Wissen in der Organisation dokumentiert, strukturiert und nachhaltig gespeichert wird. Ziel ist es, den dauerhaften Zugriff auf relevantes Wissen sicherzustellen und Abhängigkeiten von Einzelpersonen zu reduzieren.</t>
  </si>
  <si>
    <t>• Wissen ist für die Dokumentation verfügbar und nachvollziehbar festgehalten.
• Abhängigkeiten von implizitem Wissen einzelner Personen sind reduziert.
• Informationsquellen sind eindeutig identifiziert und gepflegt.
• Wissen ist strukturiert und für unterschiedliche Beteiligte zugänglich.</t>
  </si>
  <si>
    <t>• Erfassung von Wissen in nachvollziehbarer Form.
• Strukturierung und Pflege der Wissensinhalte.
• Nutzung von IT-Systemen zur Speicherung und Bereitstellung.
• Regelmäßige Aktualisierung und Validierung der Wissensbestände.
• Sicherstellung des Zugriffs für relevante Rollen und Abteilungen.</t>
  </si>
  <si>
    <t>• Wissensdokumentationen (z. B. Handbücher, interne Guidelines, Wikis).
• Protokolle, Lessons Learned, Best-Practice-Sammlungen.
• Systeme zur Speicherung (z. B. Wissensdatenbanken, DMS, Intranet).
• Strukturierte Formate für den Wissenszugriff (z. B. Metadaten, Suchfunktionen).</t>
  </si>
  <si>
    <t>• Wissen in der Organisation ist personengebunden
• Wissen wird überwiegend implizit weitergegeben
• Wissen ist im Unternehmen verteilt an verschiedenen Orten</t>
  </si>
  <si>
    <t>• Erste Ablagestrukturen mit individueller Struktur existieren
• Implizites Wissen wird gelegentlich dokumentiert</t>
  </si>
  <si>
    <t>• Wissen wird systematisch dokumentiert und in festen Formaten abgelegt
• Organisatorisch geregelte Ablagen existieren
• Wissen ist für beteiligte Rollen auffindbar und nachvollziehbar</t>
  </si>
  <si>
    <t>• Zentrale Systeme werden für die Wissensspeicherung genutzt
• Es gibt definierte Prozesse, um Wissen regelmäßig zu aktualisieren
• Der Zugriff auf gespeichertes Wissen ist für alle relevanten Beteiligten gewährleistet
• Die Speicherung ist taxonomiebasiert und zielt auf den nachhaltigen Wissensaufbau ab</t>
  </si>
  <si>
    <t>• Wissen der Organisation befindet sich in semantischen Netzwerken und ist mit Organisationssystemen vernetzt
• Wissenssysteme werden kontinuierlich gepflegt und proaktiv erweitert
• Innovative Technologien unterstützen das Wissensmanagement</t>
  </si>
  <si>
    <t>Werden erste informelle Hilfeleistungen (z.B. FAQs) angeboten?</t>
  </si>
  <si>
    <r>
      <t xml:space="preserve">Wird Dokumentation </t>
    </r>
    <r>
      <rPr>
        <b/>
        <sz val="10"/>
        <color theme="1"/>
        <rFont val="Arial"/>
        <family val="2"/>
      </rPr>
      <t>gelegentlich</t>
    </r>
    <r>
      <rPr>
        <sz val="10"/>
        <color theme="1"/>
        <rFont val="Arial"/>
        <family val="2"/>
      </rPr>
      <t xml:space="preserve"> für interne Services genutzt (z. B. als Grundlage für Schulungen)?</t>
    </r>
  </si>
  <si>
    <t>Gibt es definierte Schnittstellen zwischen Dokumentation und Servicebereichen?</t>
  </si>
  <si>
    <t>Erfolgt eine strukturierte Abstimmung zwischen Redaktion und Serviceverantwortlichen?</t>
  </si>
  <si>
    <t>Wird Wissen wird als Serviceleistung verstanden (z. B. Guided Troubleshooting, interaktive Assistenten, redaktionell gepflegte Wissensdatenbanken)?</t>
  </si>
  <si>
    <t>Werden Inhalte gezielt aufbereitet, um Services optimal zu unterstützen (z. B. modulare FAQs, Tutorials)?</t>
  </si>
  <si>
    <t>Werden proaktive Wissensservices mit intelligenter Suche, Chatbots, kontextbezogenen Hilfen und Integration in Smart Services (z. B. AR, IoT, digitale Zwillinge) angeboten?</t>
  </si>
  <si>
    <t>Erfolgt eine kontinuierliche Weiterentwicklung dokumentationsgestützter Services auf Basis von Feedback und Nutzungsanalysen?</t>
  </si>
  <si>
    <t>• Informationen aus der Dokumentation werden gezielt für interne oder externe Services genutzt.
• Dokumentationsinhalte unterstützen Serviceprozesse, z. B. Schulungen, Support oder Wissensdatenbanken.
• Services sind strukturiert und nachvollziehbar in den Dokumentationsprozess eingebunden.
• Dokumentation wird als Wissensdienstleistung verstanden, die zum Geschäftserfolg beiträgt.</t>
  </si>
  <si>
    <t>• Nutzung dokumentierter Inhalte für interne und externe Serviceangebote.
• Entwicklung von Formaten, die Dokumentation für Services zugänglich machen (z. B. FAQs, E-Learning).
• Systematische Zusammenarbeit zwischen Redaktion, Service und Support.
•  Einbettung von Dokumentationsinhalten in digitale Serviceplattformen.
Kontinuierliche Verbesserung der Services auf Basis von Feedback und Nutzungsdaten.</t>
  </si>
  <si>
    <t>• Schulungsunterlagen, Tutorials oder Trainings auf Basis der Dokumentation.
• Service- oder Support-Portale, die Dokumentationsinhalte einbinden.
• Self-Service-Datenbanken oder Chatbots mit integrierten Dokumentationsinformationen.
• Reports oder Auswertungen zur Nutzung dokumentationsgestützter Services.</t>
  </si>
  <si>
    <t>• Die Dokumentation wird ausschließlich für gesetzlich oder normativ geforderte Zwecke eingesetzt und bietet ansonsten keinen Mehrwert</t>
  </si>
  <si>
    <t>• Erste informelle Hilfeleistungen werden angeboten
• Dokumentation wird gelegentlich für interne Services genutzt</t>
  </si>
  <si>
    <t>• Die Dokumentation wird regelmäßig für Serviceangebote eingesetzt
• Es gibt definierte Schnittstellen zwischen Dokumentation und Servicebereichen
• Eine strukturierte Abstimmung zwischen Redaktion und Serviceverantwortlichen erfolgt</t>
  </si>
  <si>
    <t>• Wissen wird als Serviceleistung verstanden
• Inhalte werden gezielt aufbereitet, um Services optimal zu unterstützen
• Services werden regelmäßig durch dokumentationsbasierte Inhalte aktualisiert</t>
  </si>
  <si>
    <t>Die Subdimension „Technische Redaktion“ beschreibt, inwieweit die Erstellung, Pflege und Weiterentwicklung der Technischen Dokumentation professionell organisiert und personell in der Organisation verankert ist. Ziel ist es, klare Verantwortlichkeiten zu schaffen, Fachkompetenz sicherzustellen und die Qualität der Dokumentation unabhängig von Einzelpersonen zu gewährleisten.</t>
  </si>
  <si>
    <t>Wird die Dokumentation nebenbei von Fachabteilungen oder einzelnen Personen ohne redaktionelle Zuständigkeit erstellt?</t>
  </si>
  <si>
    <t>Werden die erforderlichen Kompetenzen eigenständig aus der Notwendigkeit heraus erworben?</t>
  </si>
  <si>
    <t>Sind einzelne Personen benannt, die (neben anderen Aufgaben) für die Dokumentation zuständig sind?</t>
  </si>
  <si>
    <t>Werden Mitarbeiter, die zuvor bereits Redaktionsaufgaben übernommen haben, benannt und nachträglich in den erforderlichen Bereichen geschult?</t>
  </si>
  <si>
    <r>
      <t xml:space="preserve">Erfolgt die Dokumentation in </t>
    </r>
    <r>
      <rPr>
        <b/>
        <sz val="10"/>
        <color theme="1"/>
        <rFont val="Arial"/>
        <family val="2"/>
      </rPr>
      <t>gelegentlich</t>
    </r>
    <r>
      <rPr>
        <sz val="10"/>
        <color theme="1"/>
        <rFont val="Arial"/>
        <family val="2"/>
      </rPr>
      <t xml:space="preserve"> wiederholbaren Prozessen ohne definierte redaktionelle Strukturen?</t>
    </r>
  </si>
  <si>
    <t>Werden Verantwortlichkeiten und Prozesse zur Dokumentation verbindlich geregelt?</t>
  </si>
  <si>
    <t>Verfügen die beteiligten Personen über grundlegende Qualifikationen in der Technischen Redaktion?</t>
  </si>
  <si>
    <t>Gibt es eine klar definierte redaktionelle Rolle oder kleine Redaktionseinheit? Existiert ein definiertes Kompetenzprofil?</t>
  </si>
  <si>
    <t>Ist die Redaktion organisatorisch als feste Funktion oder Abteilung etabliert?</t>
  </si>
  <si>
    <t>Ist die Technische Redaktion in zentrale Unternehmensprozesse (z. B. Entwicklung, Qualitätssicherung, Service) integriert?</t>
  </si>
  <si>
    <t>Besitzt die Technische Redaktion ein unternehmensweites Denken bei der Verwaltung von Inhalten (Content-Strategen)?</t>
  </si>
  <si>
    <t>Ist die Technische Redaktion als strategische Funktion verankert und trägt aktiv zum Unternehmenserfolg bei?</t>
  </si>
  <si>
    <t>Ist die Redaktion ein zentraler Partner in interdisziplinären Projekten (z. B. Digitalisierung, Industrie 4.0, Wissensmanagement)?</t>
  </si>
  <si>
    <t>Erweitern die technischen Redakteure ihre Rolle kontinuierlich hin zu Semantik-Modellierern?</t>
  </si>
  <si>
    <t>• Die Dokumentation wird nebenbei von Fachabteilungen oder einzelnen Personen ohne redaktionelle Zuständigkeit erstellt
• Die erforderlichen Kompetenzen werden eigenständig aus der Notwendigkeit heraus erworben</t>
  </si>
  <si>
    <t>• Einzelne Personen sind benannt, die neben anderen Aufgaben für die Dokumentation zuständig sind
• Die Dokumentation erfolgt in gelegentlich wiederholbaren Prozessen ohne definierte redaktionelle Strukturen
• Mitarbeiter, die zuvor bereits Redaktionsaufgaben übernommen haben, werden benannt und nachträglich in den erforderlichen Bereichen geschult</t>
  </si>
  <si>
    <t>• Es gibt eine klar definierte redaktionelle Rolle oder eine kleine Redaktionseinheit, und ein Kompetenzprofil existiert
• Verantwortlichkeiten und Prozesse zur Dokumentation sind verbindlich geregelt
• Die beteiligten Personen verfügen über grundlegende Qualifikationen in der Technischen Redaktion</t>
  </si>
  <si>
    <t>• Die Technische Redaktion ist als strategische Funktion verankert und trägt aktiv zum Unternehmenserfolg bei
• Die Redaktion ist ein zentraler Partner in interdisziplinären Projekten
• Technische Redakteure erweitern ihre Rolle kontinuierlich hin zu Semantik-Modellierern</t>
  </si>
  <si>
    <t>Der Stellenwert der technischen Dokumentation beschreibt, in welchem Maß die technische Dokumentation im Unternehmen als bedeutungsvoller Bestandteil von Produkten und Dienstleistungen verstanden und gefördert wird. Ziel ist es, die Dokumentation von einer bloßen Pflichtaufgabe zu einem anerkannten, strategisch relevanten Erfolgsfaktor weiterzuentwickeln.</t>
  </si>
  <si>
    <t>Gibt es erste Ansätze, die Dokumentation über die Pflicht hinaus zu nutzen (z. B. interne Wissensquelle)?</t>
  </si>
  <si>
    <t>Gibt es erste Versuche, die Qualität oder den Beitrag der Dokumentation messbar zu machen?</t>
  </si>
  <si>
    <t>Wird die Dokumentation regelmäßig in Service-, Support- oder Schulungsprozessen genutzt?</t>
  </si>
  <si>
    <t>Existiert eine definierte, ganzheitliche Content-Strategie in der Organisation?</t>
  </si>
  <si>
    <t>Ist die Dokumentation Bestandteil von Qualitäts-, Compliance- und Produktstrategien?</t>
  </si>
  <si>
    <r>
      <t xml:space="preserve">Wird der Wert der Dokumentation </t>
    </r>
    <r>
      <rPr>
        <b/>
        <sz val="10"/>
        <color theme="1"/>
        <rFont val="Arial"/>
        <family val="2"/>
      </rPr>
      <t>regelmäßig</t>
    </r>
    <r>
      <rPr>
        <sz val="10"/>
        <color theme="1"/>
        <rFont val="Arial"/>
        <family val="2"/>
      </rPr>
      <t xml:space="preserve"> kommuniziert und durch Kennzahlen </t>
    </r>
    <r>
      <rPr>
        <b/>
        <sz val="10"/>
        <color theme="1"/>
        <rFont val="Arial"/>
        <family val="2"/>
      </rPr>
      <t>unterstützt</t>
    </r>
    <r>
      <rPr>
        <sz val="10"/>
        <color theme="1"/>
        <rFont val="Arial"/>
        <family val="2"/>
      </rPr>
      <t>?</t>
    </r>
  </si>
  <si>
    <t>Ist die Technische Dokumentation als strategischer Faktor in der Unternehmensstrategie verankert?</t>
  </si>
  <si>
    <t>Gibt es ein kontinuierliches Monitoring, das den Stellenwert der Dokumentation anhand von KPIs sichtbar macht?</t>
  </si>
  <si>
    <t>Wird sie gezielt als Differenzierungsmerkmal im Wettbewerb (z.B. schnellere Time-to-Market) und als Enabler neuer Geschäftsmodelle eingesetzt?</t>
  </si>
  <si>
    <t>Ist die Dokumentation organisatorisch und budgetär so verankert, dass ihr Beitrag zum Unternehmenserfolg gesichert ist?</t>
  </si>
  <si>
    <t>• Die Bedeutung der Dokumentation ist klar definiert und im Unternehmen verankert.
• Dokumentation wird nicht mehr ausschließlich als regulatorische Pflicht verstanden.
• Dokumentation trägt nachweislich zur Wertschöpfung, Kundenzufriedenheit und Differenzierung bei.
• Dokumentation ist Teil der Unternehmensstrategie und wird aktiv gefördert.</t>
  </si>
  <si>
    <t>• Anerkennung der Dokumentation über regulatorische Mindestanforderungen hinaus.
• Kommunikation des Nutzens von Dokumentation innerhalb der Organisation.
• Ressourcenallokation im Verhältnis zur Bedeutung der Dokumentation.
• Einbindung der Dokumentation in Wertschöpfungs- und Serviceprozesse.
• Strategische Positionierung der Dokumentation als Bestandteil des Unternehmenserfolgs.</t>
  </si>
  <si>
    <t>• Unternehmensrichtlinien oder Leitbilder, die den Stellenwert der Dokumentation festhalten.
• Budget- und Ressourcenentscheidungen, die den Wert der Dokumentation widerspiegeln.
• Kommunikationsmaßnahmen, die den Nutzen der Dokumentation sichtbar machen.
• Kennzahlen (KPIs), die den Wertbeitrag der Dokumentation belegen (z. B. Serviceaufwand, Kundenzufriedenheit).</t>
  </si>
  <si>
    <t>• Die Dokumentation wird ausschließlich zur Erfüllung rechtlicher oder normativer Anforderungen erstellt</t>
  </si>
  <si>
    <t>• Die Dokumentation wird regelmäßig in Service-, Support- oder Schulungsprozessen genutzt
• Der Nutzen der Dokumentation für Effizienz und Kundenzufriedenheit ist in der Organisation anerkannt
• Die Dokumentation wird als Teil der Produktqualität angesehen
• Es gibt erste Versuche, die Qualität oder den Beitrag der Dokumentation messbar zu machen</t>
  </si>
  <si>
    <t>• Eine definierte, ganzheitliche Content-Strategie existiert in der Organisation
• Die Dokumentation ist organisatorisch und budgetär so verankert, dass ihr Beitrag zum Unternehmenserfolg gesichert ist
• Die Dokumentation ist Bestandteil von Qualitäts-, Compliance- und Produktstrategien
• Der Wert der Dokumentation wird regelmäßig kommuniziert und durch Kennzahlen unterstützt</t>
  </si>
  <si>
    <t>• Die Technische Dokumentation ist als strategischer Faktor in der Unternehmensstrategie verankert
• Ein kontinuierliches Monitoring macht den Stellenwert der Dokumentation anhand von KPIs sichtbar
• Die Dokumentation wird gezielt als Differenzierungsmerkmal im Wettbewerb und als Enabler neuer Geschäftsmodelle eingesetzt</t>
  </si>
  <si>
    <t>Die "Kulturelle Verankerung“ beschreibt, inwieweit die Technische Dokumentation in der Unternehmenskultur verankert ist und von Mitarbeitenden sowie Führungskräften als selbstverständlicher Bestandteil von Produkten, Prozessen und Kundenerlebnissen wahrgenommen wird. Ziel ist es, die Dokumentation nicht nur als Pflicht, sondern als integralen Bestandteil des Qualitätsverständnisses und der Innovationskultur zu etablieren.</t>
  </si>
  <si>
    <t>Gibt es erste Ansätze, die Bedeutung der Dokumentation intern zu kommunizieren?</t>
  </si>
  <si>
    <t>Wird Dokumentation von einzelnen Führungskräften oder Abteilungen als wichtig hervorgehoben?</t>
  </si>
  <si>
    <t>Gibt es punktuelle Unterstützung durch Führungskräfte oder Abteilungen für die technische Dokumentation?</t>
  </si>
  <si>
    <t>Stößt die Dokumentation auf breite Akzeptanz im Unternehmen?</t>
  </si>
  <si>
    <t>Steht der Gesamtprozess im Fokus, auch nach Fertigstellung eines einzelnen Projektes (Prozessmanagementsicht)?</t>
  </si>
  <si>
    <t>Ist die Dokumentation integraler Bestandteil der Organisationskultur? Ist sie in den Werten der Organisation, Leitbildern oder Qualitätsrichtlinien verankert?</t>
  </si>
  <si>
    <t>Fördert die Organisationskultur den aktiven Wissensaustausch und die Unterstützung der Dokumentation?</t>
  </si>
  <si>
    <t>Ist die Technische Dokumentation ein selbstverständlicher Bestandteil des organisationsweiten Qualitäts- und Innovationsverständnisses?</t>
  </si>
  <si>
    <t>• Dokumentation wird von allen relevanten Stakeholdern als wichtig und selbstverständlich anerkannt.
• Dokumentation ist Teil des Qualitäts- und Serviceverständnisses der Organisation.
• Mitarbeitende tragen aktiv zur Bereitstellung und Pflege dokumentationsrelevanter Informationen bei.
• Dokumentation ist kulturell in Entscheidungsprozesse und Projekte eingebettet.</t>
  </si>
  <si>
    <t>• Kommunikation der Bedeutung der Dokumentation durch Führungskräfte.
• Verankerung von Dokumentation in den Unternehmenswerten oder Leitlinien.
• Förderung einer Kultur, in der Wissen und Informationen geteilt werden.
• Motivation der Mitarbeitenden, Dokumentation aktiv zu unterstützen.
• Anerkennung von Beiträgen zur Dokumentation als Teil von Leistung und Erfolg.</t>
  </si>
  <si>
    <t>• Leitbilder, Unternehmenswerte oder Kommunikationsrichtlinien, die Dokumentation einschließen.
• Schulungsunterlagen und Awareness-Materialien zur Bedeutung der Dokumentation.
• Interne Kommunikationskampagnen (z. B. Intranet, Newsletter), die den Stellenwert der Dokumentation hervorheben.
• Erfolgsbeispiele oder Best Practices, die den Wert dokumentierter Inhalte sichtbar machen.</t>
  </si>
  <si>
    <t>• Ein Bewusstsein für die Bedeutung der Dokumentation herrscht lediglich bei den Mitarbeitern, die mit der Dokumentation arbeiten
• Vereinzelt wird die Meinung vertreten, dass die langfristige Prozessverbesserung wichtiger ist als die kurzfristige Projektbudgeteinhaltung</t>
  </si>
  <si>
    <t>• Erste Ansätze zur internen Kommunikation der Bedeutung der Dokumentation existieren
• Es gibt punktuelle Unterstützung durch Führungskräfte oder Abteilungen für die Technische Dokumentation
• Dokumentation wird von einzelnen Führungskräften oder Abteilungen als wichtig hervorgehoben</t>
  </si>
  <si>
    <t>• Die Dokumentation stößt auf breite Akzeptanz im Unternehmen
• Wiederkehrende Kommunikationsmaßnahmen betonen den Stellenwert der Dokumentation und dieser ist in der Organisation anerkannt</t>
  </si>
  <si>
    <t>• Die Dokumentation ist integraler Bestandteil der Organisationskultur und in Werten, Leitbildern oder Qualitätsrichtlinien verankert
• Der Gesamtprozess steht im Fokus, auch nach Fertigstellung eines einzelnen Projektes
• Die Organisationskultur fördert den aktiven Wissensaustausch und die Unterstützung der Dokumentation</t>
  </si>
  <si>
    <t>• Die Dokumentationskultur ist vorbildlich, wird intern gelebt und extern kommuniziert
• Die Technische Dokumentation ist ein selbstverständlicher Bestandteil des organisationsweiten Qualitäts- und Innovationsverständnisses</t>
  </si>
  <si>
    <t>Die „Redaktionelle IT-Infrastruktur“ beschreibt, inwieweit die für die Technische Dokumentation erforderlichen IT-Systeme und Werkzeuge vorhanden, integriert und nutzbar sind. Ziel ist es, die Dokumentation effizient, konsistent, kollaborativ und medienbruchfrei zu unterstützen.</t>
  </si>
  <si>
    <t>Werden Tools mit dedizierter Layoutunterstützung (z.B. Word Add-Ins) genutzt?</t>
  </si>
  <si>
    <t>Gibt es erste spezialisierte Tools (z. B. Terminologiedatenbank, Übersetzungssoftware), die ergänzend eingesetzt werden?</t>
  </si>
  <si>
    <t>Wird ein Redaktionssystem oder CCMS eingesetzt, das die Modularisierung, Wiederverwendung und Qualitätssicherung unterstützt?</t>
  </si>
  <si>
    <t>Sind erste Schnittstellen zu angrenzenden Systemen (z. B. PLM, ERP) eingerichtet?</t>
  </si>
  <si>
    <t>Sind die redaktionellen Systeme durchgängig mit anderen Unternehmenssystemen integriert (z. B. PLM, ERP, PIM)?</t>
  </si>
  <si>
    <t>Werden weitere Systeme bzw. Funktionen des CMS (z.B. Tools für das Übersetzungsmanagement) eingesetzt?</t>
  </si>
  <si>
    <t>Unterstützt die Infrastruktur automatisierte Prozesse (z. B. Terminologieprüfung, Publikationsprozesse)?</t>
  </si>
  <si>
    <t>Gibt es IT-Support und klare Verantwortlichkeiten für den Betrieb der Systeme?</t>
  </si>
  <si>
    <t>Ist die IT-Infrastruktur hochintegriert, skalierbar und flexibel für neue Anforderungen (z. B. AR/VR, IoT, Digital Twin)? Wird sie kontinuierlich an neue Technologien angepasst und strategisch weiterentwickelt?</t>
  </si>
  <si>
    <t>Sind (Stamm-) Daten in diversen Systemen vorhanden?</t>
  </si>
  <si>
    <t>Werden Unternehmenssysteme für einzelne Anwendungsfälle (z.B. für die Materialverwaltung) verwendet?</t>
  </si>
  <si>
    <t>Sind Systeme wie ERP- oder P?LM-Systeme institutionell verankert?</t>
  </si>
  <si>
    <t>Partizipiert die Organisation an Datenökosystemen für den interorganisationalen Datenaustausch?</t>
  </si>
  <si>
    <t>Die „Organisationale IT-Infrastruktur“ beschreibt den Reifegrad der allgemeinen IT-Landschaft eines Unternehmens. Ziel ist es, eine stabile, sichere und leistungsfähige Infrastruktur bereitzustellen, die Zusammenarbeit, Datenmanagement und Geschäftsprozesse effizient unterstützt und zukünftige Anforderungen flexibel abdecken kann.</t>
  </si>
  <si>
    <t>Gibt es erste zentrale IT-Systeme wie Fileserver, Intranet oder Standardtools für Zusammenarbeit?</t>
  </si>
  <si>
    <t>Werden grundlegende IT-Sicherheitsmaßnahmen umgesetzt?</t>
  </si>
  <si>
    <t>Ist die IT-Infrastruktur stabil und zuverlässig für die wesentlichen Geschäftsprozesse verfügbar?</t>
  </si>
  <si>
    <t>Unterstützt sie systematisch den Datenaustausch und die Zusammenarbeit innerhalb der Organisation?</t>
  </si>
  <si>
    <t>Sind Rollen, Zugriffsrechte und Verantwortlichkeiten klar definiert?</t>
  </si>
  <si>
    <t>Existiert eine integrierte Systemlandschaft mit Datenabgleich und -austausch über Systemgrenzen hinweg?</t>
  </si>
  <si>
    <t>Gibt es einheitliche Plattformen, standardisierte Workflows und strukturierte Support-Prozesse?</t>
  </si>
  <si>
    <t>Erfolgt der Datenzugriff über einen Knowledge Hub als Single source of Truth?</t>
  </si>
  <si>
    <t>Ist die Infrastruktur hochgradig skalierbar, sicher und auf künftige Anforderungen (z. B. Cloud, Remote Work, digitale Transformation) ausgerichtet?</t>
  </si>
  <si>
    <t>• Die eingesetzte IT-Infrastruktur unterstützt die Erstellung, Verwaltung und Auslieferung der Technischen Dokumentation.
• Systeme sind an die redaktionellen Anforderungen angepasst und in Arbeitsprozesse integriert.
• Die Infrastruktur ermöglicht eine effiziente Zusammenarbeit, Wiederverwendung und Qualitätssicherung.
• Die IT-Infrastruktur ist skalierbar, zukunftsorientiert und unterstützt den Digitalisierungsgrad der Dokumentation.</t>
  </si>
  <si>
    <t>• Einsatz geeigneter Werkzeuge für die Dokumentationserstellung und -verwaltung.
• Anpassung und Konfiguration der Systeme an redaktionelle Anforderungen.
• Etablierung von Schnittstellen zu angrenzenden Unternehmenssystemen.
• Sicherstellung von Systemverfügbarkeit, Datenintegrität und IT-Support.
• Kontinuierliche Weiterentwicklung der Infrastruktur entsprechend neuer Anforderungen (z. B. modularer Content, Omnichannel-Publikation).</t>
  </si>
  <si>
    <t>• Systemlandschaft (z. B. Textverarbeitung, Redaktionssysteme, CCMS, Terminologiedatenbanken, Übersetzungstools).
• IT-Richtlinien und Integrationskonzepte für redaktionelle Systeme.
• Schnittstellenbeschreibungen zu angrenzenden Systemen (z. B. PLM, ERP, PIM).
• Dokumentation von Prozessen und Workflows, die durch die Infrastruktur unterstützt werden.</t>
  </si>
  <si>
    <t>• Es werden Tools genutzt, die ad hoc am nützlichsten und zugänglichsten sind</t>
  </si>
  <si>
    <t>• Es werden Tools mit dedizierter Layoutunterstützung genutzt
• Erste spezialisierte Tools wie Terminologiedatenbanken oder Übersetzungssoftware werden ergänzend eingesetzt
• Die Nutzung dieser Werkzeuge erfolgt punktuell und ohne systematische Integration</t>
  </si>
  <si>
    <t>• Redaktionelle Systeme sind durchgängig mit anderen Unternehmenssystemen integriert
• Weitere Systeme oder Funktionen des CMS wie Übersetzungsmanagement werden eingesetzt
• Die Infrastruktur unterstützt automatisierte Prozesse wie Terminologieprüfung oder Publikationsprozesse
• Es gibt IT-Support und klare Verantwortlichkeiten für den Betrieb der Systeme</t>
  </si>
  <si>
    <t>• Die IT-Infrastruktur ist hochintegriert, skalierbar und flexibel für neue Anforderungen und wird • • • kontinuierlich an neue Technologien angepasst und strategisch weiterentwickelt
• Redaktionelle Systeme und Unternehmenssysteme greifen auf dieselben Daten zu und bilden eine Single Source of Truth</t>
  </si>
  <si>
    <t>• Die IT-Infrastruktur ist stabil, sicher und unterstützt die Geschäftsprozesse zuverlässig.
• Kollaboration und Informationsaustausch innerhalb der Organisation werden effektiv ermöglicht.
• Daten und Systeme sind geschützt, konsistent und verfügbar.
• Die Infrastruktur ist skalierbar und wird regelmäßig an neue Anforderungen angepasst.</t>
  </si>
  <si>
    <t>• Betrieb grundlegender IT-Systeme zur Unterstützung der Kernprozesse.
• Bereitstellung von Plattformen für Kommunikation und Zusammenarbeit.
• Implementierung von IT-Sicherheitsmaßnahmen und Datenschutzkonzepten.
• Integration der IT-Infrastruktur in die Gesamtstrategie der Organisation.
• Kontinuierliche Anpassung und Modernisierung der Infrastruktur.</t>
  </si>
  <si>
    <t>• Übersicht der IT-Architektur (Netzwerk, Server, Speicher, Cloud-Dienste).
• IT-Sicherheitsrichtlinien und Zugriffsregelungen.
• Kollaborations- und Kommunikationsplattformen (z. B. Intranet, Projektmanagement-Tools).
• Dokumentation über IT-Support, Verfügbarkeiten und Ausfallmanagement.</t>
  </si>
  <si>
    <t>• Stammdaten sind in diversen Systemen vorhanden
• Es stehen lediglich grundlegende IT-Mittel ohne zentrale Koordination zur Verfügung</t>
  </si>
  <si>
    <t>• Unternehmenssysteme werden für einzelne Anwendungsfälle verwendet
• Erste zentrale IT-Systeme wie Fileserver, Intranet oder Standardtools für Zusammenarbeit existieren
• Grundlegende IT-Sicherheitsmaßnahmen werden umgesetzt</t>
  </si>
  <si>
    <t>• Systeme wie ERP- oder PLM-Systeme sind institutionell verankert
• Die IT-Infrastruktur ist stabil und zuverlässig für die wesentlichen Geschäftsprozesse verfügbar
• Die Infrastruktur unterstützt systematisch den Datenaustausch und die Zusammenarbeit innerhalb der Organisation
• Rollen, Zugriffsrechte und Verantwortlichkeiten sind klar definiert</t>
  </si>
  <si>
    <t>• Eine integrierte Systemlandschaft mit Datenabgleich und -austausch über Systemgrenzen hinweg existiert
• Einheitliche Plattformen, standardisierte Workflows und strukturierte Support-Prozesse sind vorhanden
• Die Infrastruktur wird aktiv gepflegt und optimiert</t>
  </si>
  <si>
    <t>• Der Datenzugriff erfolgt über einen Knowledge Hub als Single Source of Truth
• Die Infrastruktur ist hochgradig skalierbar, sicher und auf künftige Anforderungen ausgerichtet
• Die Organisation partizipiert an Datenökosystemen für den interorganisationalen Datenaustausch</t>
  </si>
  <si>
    <t>Die „Digitalisierung der Produkte“ beschreibt, in welchem Maß Produkte digitale Funktionen, Datenanbindung und Vernetzung unterstützen. Ziel ist es, den Wert der Produkte durch digitale Erweiterungen, Services und Integrationen zu steigern und sie in moderne digitale Ökosysteme einzubetten.</t>
  </si>
  <si>
    <t>Sind diese Funktionen weitgehend isoliert und nicht vernetzt?</t>
  </si>
  <si>
    <t>Können Produktdaten strukturiert erfasst und weitergegeben werden?</t>
  </si>
  <si>
    <t>Sind Produkte in der Lage, Daten kontextsensitiv zu erfassen und zu verarbeiten (z. B. Zustandsüberwachung, Remote Monitoring)?</t>
  </si>
  <si>
    <t>Werden digitale Services oder Funktionen durch Metadaten oder Software gesteuert?</t>
  </si>
  <si>
    <t>Ist die Integration in digitale Plattformen (z. B. IoT-Clouds) umgesetzt?</t>
  </si>
  <si>
    <t>Sind Produkte vollständig in digitale Ökosysteme eingebunden (z. B. Digital Twin, Predictive Maintenance, Plattformökonomie)?</t>
  </si>
  <si>
    <t>Erfolgt ein kontinuierlicher Datenaustausch mit anderen Produkten oder Herstellern?</t>
  </si>
  <si>
    <t>Unterstützen Produkte datengetriebene Geschäftsmodelle und ermöglichen neue Services?</t>
  </si>
  <si>
    <t>• Produkte sind je nach Reifegrad unterschiedlich stark digitalisiert – von rein mechanisch/analog bis hin zu vollständig vernetzt und softwaregestützt.
• Digitale Funktionen schaffen Mehrwert für Kunden und Organisation (z. B. durch Automatisierung, Remote Services, Data Analytics).
• Die Digitalisierung der Produkte ermöglicht neue Geschäftsmodelle und unterstützt die Wettbewerbsfähigkeit.
• Eine klare Roadmap zur weiteren Digitalisierung ist etabliert.</t>
  </si>
  <si>
    <t>• Analyse des aktuellen Digitalisierungsgrads im Produktportfolio.
• Integration digitaler Funktionen in Produkte (z. B. Sensoren, Softwaremodule).
• Aufbau von Schnittstellen zur Vernetzung mit anderen Systemen oder Plattformen.
• Nutzung von Produktdaten zur Verbesserung von Funktionen oder Services.
• Kontinuierliche Weiterentwicklung der digitalen Produktstrategie.</t>
  </si>
  <si>
    <t>• Dokumentation zu Produktfunktionen (analog, digital, hybrid).
• Konzepte und Spezifikationen für Schnittstellen (z. B. APIs, Feldbusse, Cloud-Anbindung).
• Roadmaps und Strategien zur Produktdigitalisierung.
• Kunden- oder Marktfeedback zur Akzeptanz digitaler Produktfunktionen.</t>
  </si>
  <si>
    <t>• Produkte bestehen überwiegend aus mechanischen oder analogen Komponenten ohne digitale Funktionen</t>
  </si>
  <si>
    <t>• Produkte verfügen über einzelne digitale Komponenten
• Diese Funktionen sind weitgehend isoliert und nicht vernetzt</t>
  </si>
  <si>
    <t>• Produkte enthalten standardisierte Schnittstellen, die eine Anbindung an andere Systeme erlauben
• Produktdaten können strukturiert erfasst und weitergegeben werden</t>
  </si>
  <si>
    <t>• Produkte sind in der Lage, Daten kontextsensitiv zu erfassen und zu verarbeiten
• Digitale Services oder Funktionen werden durch Metadaten oder Software gesteuert
• Eine Integration in digitale Plattformen ist umgesetzt</t>
  </si>
  <si>
    <t>• Produkte sind vollständig in digitale Ökosysteme eingebunden
• Produkte unterstützen datengetriebene Geschäftsmodelle und ermöglichen neue Services
• Ein kontinuierlicher Datenaustausch mit anderen Produkten oder Herstellern erfolgt</t>
  </si>
  <si>
    <t>Technologische Infrastruktur - Produktions-IT-Infrastruktur</t>
  </si>
  <si>
    <t>Produktions-IT-Infrastruktur</t>
  </si>
  <si>
    <t>Die „Produktions-IT-Infrastruktur“ beschreibt den Reifegrad der eingesetzten IT-Systeme in der Produktion. Ziel ist es, die Produktionsprozesse durch digitale Lösungen effizient, transparent, flexibel und integrierbar zu gestalten und damit eine Grundlage für Industrie 4.0 und datengetriebene Wertschöpfung zu schaffen.</t>
  </si>
  <si>
    <t>Gibt es grundlegende IT-Lösungen (z. B. Maschinensteuerungen)?</t>
  </si>
  <si>
    <t>Werden Daten punktuell, aber noch nicht systematisch erfasst und genutzt?</t>
  </si>
  <si>
    <t>Sind Produktionssysteme durchgängig mit ERP, PLM oder Qualitätsmanagementsystemen integriert?</t>
  </si>
  <si>
    <t>Unterstützt die IT automatisierte Workflows und optimierte Produktionsplanung?</t>
  </si>
  <si>
    <t>Erfolgt ein durchgängiges Monitoring der Produktion in Echtzeit?</t>
  </si>
  <si>
    <t>Wird ein Manufacturing Execution System (MES) oder vergleichbare Systeme genutzt?</t>
  </si>
  <si>
    <t>Erfolgt eine systematische Datenerfassung und -speicherung über mehrere Produktionsbereiche hinweg?</t>
  </si>
  <si>
    <t>Bestehen erste Schnittstellen zu ERP- oder PLM-Systemen?</t>
  </si>
  <si>
    <t>Ist die Produktions-IT vollständig vernetzt und ermöglicht durchgängige Datenintegration (vom Shopfloor bis zur Cloud)?</t>
  </si>
  <si>
    <t>Werden Daten für Predictive Maintenance, autonome Entscheidungen oder KI-gestützte Optimierung genutzt?</t>
  </si>
  <si>
    <t>Unterstützt die Infrastruktur flexible, hochgradig automatisierte und selbstoptimierende Produktionssysteme?</t>
  </si>
  <si>
    <t>• Produktionsprozesse werden durch IT unterstützt und zunehmend automatisiert.
• Daten aus der Produktion stehen für Monitoring, Analyse und Optimierung zur Verfügung.
• Systeme sind miteinander und mit angrenzenden Bereichen (z. B. ERP, PLM) integriert.
• Produktions-IT ist sicher, skalierbar und zukunftsfähig.</t>
  </si>
  <si>
    <t>• Nutzung von IT zur Unterstützung der Produktionsprozesse.
• Implementierung von Monitoring- und Reporting-Funktionen.
• Integration von Produktionssystemen mit angrenzenden Unternehmenssystemen.
• Gewährleistung von IT-Sicherheit und Stabilität in der Produktion.
• Weiterentwicklung der Produktions-IT im Hinblick auf Automatisierung, Datenintegration und Industrie 4.0.</t>
  </si>
  <si>
    <t>• Dokumentation der Produktionssysteme (z. B. MES, SCADA, IoT-Plattformen).
• Integrationskonzepte und Schnittstellenbeschreibungen (z. B. zu ERP, Qualitätsmanagement).
• Protokolle und Berichte über Produktionsdaten (z. B. OEE, Zustandsdaten, Prozessparameter).
• Strategien zur Weiterentwicklung der Produktions-IT (z. B. Cloud, Edge Computing).</t>
  </si>
  <si>
    <t>• Die Produktion wird weitgehend manuell gesteuert, mit nur vereinzeltem IT-Einsatz</t>
  </si>
  <si>
    <t>• Grundlegende IT-Lösungen wie Maschinensteuerungen sind vorhanden
• Daten werden punktuell, aber noch nicht systematisch erfasst und genutzt</t>
  </si>
  <si>
    <t>• Ein Manufacturing Execution System oder vergleichbare Systeme wird genutzt
• Eine systematische Datenerfassung und -speicherung über mehrere Produktionsbereiche hinweg erfolgt
• Erste Schnittstellen zu ERP- oder PLM-Systemen bestehen</t>
  </si>
  <si>
    <t>• Produktionssysteme sind durchgängig mit ERP, PLM oder Qualitätsmanagementsystemen integriert
• Die IT unterstützt automatisierte Workflows und optimierte Produktionsplanung
• Ein durchgängiges Monitoring der Produktion in Echtzeit erfolgt</t>
  </si>
  <si>
    <t>• Die Produktions-IT ist vollständig vernetzt und ermöglicht durchgängige Datenintegration vom Shopfloor bis zur Cloud
• Daten werden für Predictive Maintenance, autonome Entscheidungen oder KI-gestützte Optimierung genutzt
• Die Infrastruktur unterstützt flexible, hochgradig automatisierte und selbstoptimierende Produktionssysteme</t>
  </si>
  <si>
    <t>Die Zusammenarbeit der Redaktion mit externen Partnern außerhalb der Organisation. Dies können etwa Dienstleister für die technische Dokumentation sein (z.B. Übersetzungsdienstleister) oder Partner innerhalb des Entwicklungsprozesses (z.B. Lieferanten)</t>
  </si>
  <si>
    <r>
      <t xml:space="preserve">Werden durchgeführte qualitätssichernde Maßnahmen </t>
    </r>
    <r>
      <rPr>
        <b/>
        <sz val="10"/>
        <color theme="1"/>
        <rFont val="Arial"/>
        <family val="2"/>
      </rPr>
      <t>gelegentlich</t>
    </r>
    <r>
      <rPr>
        <sz val="10"/>
        <color theme="1"/>
        <rFont val="Arial"/>
        <family val="2"/>
      </rPr>
      <t xml:space="preserve"> dokumentiert?</t>
    </r>
  </si>
  <si>
    <t>Fachbegriffe, Benennungen und Sprachregelungen konsistent und zielgruppenorientiert in der technischen Dokumentation verwenden. Ziel ist die Eindeutigkeit, Verständlichkeit, Übersetzbarkeit und Rechtskonformität von Inhalten.</t>
  </si>
  <si>
    <t>Wenn keine externen Dienstleister beauftragt sind, bitte "nicht anwendbar" auswählen</t>
  </si>
  <si>
    <t>Die technische Dokumentation soll stets dem aktuellen Stand des Produkts, der Prozesse und der gesetzlichen Anforderungen entsprechen. Ziel ist es, veraltete, fehlerhafte oder widersprüchliche Informationen zu vermeiden und die Zuverlässigkeit, Sicherheit und Rechtskonformität der Dokumentation zu gewährleisten.</t>
  </si>
  <si>
    <t>Die Ablage und Archivierung stellt sicher, dass Dokumentationsinhalte strukturiert, zugänglich und revisionssicher gespeichert werden. Ziel ist die Nachvollziehbarkeit, Rechtskonformität und effiziente Wiederverwendbarkeit von Dokumentationsständen während und nach dem Produktlebenszyklus.</t>
  </si>
  <si>
    <r>
      <t xml:space="preserve">Wird die Einhaltung der Ablage- und Archivierungsregeln </t>
    </r>
    <r>
      <rPr>
        <b/>
        <sz val="10"/>
        <color theme="1"/>
        <rFont val="Arial"/>
        <family val="2"/>
      </rPr>
      <t>regelmäßig überprüft</t>
    </r>
    <r>
      <rPr>
        <sz val="10"/>
        <color theme="1"/>
        <rFont val="Arial"/>
        <family val="2"/>
      </rPr>
      <t xml:space="preserve"> (z. B. durch Audits oder interne Kontrollen)?</t>
    </r>
  </si>
  <si>
    <r>
      <t xml:space="preserve">Wird die Dokumentation </t>
    </r>
    <r>
      <rPr>
        <b/>
        <sz val="10"/>
        <color theme="1"/>
        <rFont val="Arial"/>
        <family val="2"/>
      </rPr>
      <t>regelmäßig</t>
    </r>
    <r>
      <rPr>
        <sz val="10"/>
        <color theme="1"/>
        <rFont val="Arial"/>
        <family val="2"/>
      </rPr>
      <t xml:space="preserve"> für Serviceangebote eingesetzt (z. B. Helpdesk, Support-Portale)?</t>
    </r>
  </si>
  <si>
    <r>
      <t xml:space="preserve">Werden Services </t>
    </r>
    <r>
      <rPr>
        <b/>
        <sz val="10"/>
        <color theme="1"/>
        <rFont val="Arial"/>
        <family val="2"/>
      </rPr>
      <t>regelmäßig</t>
    </r>
    <r>
      <rPr>
        <sz val="10"/>
        <color theme="1"/>
        <rFont val="Arial"/>
        <family val="2"/>
      </rPr>
      <t xml:space="preserve"> durch dokumentationsbasierte Inhalte </t>
    </r>
    <r>
      <rPr>
        <b/>
        <sz val="10"/>
        <color theme="1"/>
        <rFont val="Arial"/>
        <family val="2"/>
      </rPr>
      <t>aktualisiert</t>
    </r>
    <r>
      <rPr>
        <sz val="10"/>
        <color theme="1"/>
        <rFont val="Arial"/>
        <family val="2"/>
      </rPr>
      <t>?</t>
    </r>
  </si>
  <si>
    <r>
      <t xml:space="preserve">Wird die externe Zusammenarbeit gemeinsam mit den Partnern </t>
    </r>
    <r>
      <rPr>
        <b/>
        <sz val="10"/>
        <color theme="1"/>
        <rFont val="Arial"/>
        <family val="2"/>
      </rPr>
      <t>kontinuierlich verbessert</t>
    </r>
    <r>
      <rPr>
        <sz val="10"/>
        <color theme="1"/>
        <rFont val="Arial"/>
        <family val="2"/>
      </rPr>
      <t>? Werden neue Möglichkeiten zur Zusammenarbeit identifiziert, bewertet und umgesetzt?</t>
    </r>
  </si>
  <si>
    <t>• Die Zusammenarbeit mit externen Partnern ist vertraglich geregelt
• Es gibt standardisierte Schnittstellen und Übergabeformate zu den Partnern für den Informationsaustausch und für die Integration externer Inhalte in die technische Dokumentation
• Rollen, Verantwortlichkeiten und Kommunikationswege mit externen Partnern sind klar festgelegt und dokumentiert</t>
  </si>
  <si>
    <t>• In der externen Zusammenarbeit werden gemeinsame Tools verwendet
• In der externen Zusammenarbeit werden gemeinsame (Qualitäts-) Ziele verfolgt
• Die Leistungen werden anhand gemeinsam definierter KPIs regelmäßig überprüft und gesteuert
• Die externe Zusammenarbeit wird auf der Grundlage gemeinsamer Workflows durchgeführt</t>
  </si>
  <si>
    <t>• Der Redaktionsprozess wurde in Einzelarbeitspakete zerlegt
• Die Arbeitspakete sind mit Arbeitspaketen im Entwicklungsprozess verknüpft
• Die Einzelarbeitspakete unterliegen einer konkreten Ressourcenplanung
• Der tatsächliche Ressourcenbedarf wird dokumentiert
• Ist- und Plan-Ressourcenbedarf werden regelmäßig miteinander verglichen
• Zeitkritische Redaktionsaufgaben sind bekannt und dementsprechende Puffer werden berücksichtigt
• Verbesserungspotenziale hinsichtlich des Redaktionsprozesses werden identifiziert</t>
  </si>
  <si>
    <t>Werden Redundanzen vermieden und kann sich die Redaktion auf eine Single Source of Truth verlassen?</t>
  </si>
  <si>
    <t>• Die Informationen erreichen die Redaktion im Push-Prinzip
• Redundanzen in den Informationen werden vermieden
• Der Informationsfluss ist ganzheitlich modelliert und definiert
• Der Informationsfluss wird regelmäßig überprüft
• Die Redaktion stützt sich bei der Informationsbeschaffung auf eine Single Source of Truth</t>
  </si>
  <si>
    <r>
      <t xml:space="preserve">Wird </t>
    </r>
    <r>
      <rPr>
        <b/>
        <sz val="10"/>
        <color theme="1"/>
        <rFont val="Arial"/>
        <family val="2"/>
      </rPr>
      <t>gelegentlich</t>
    </r>
    <r>
      <rPr>
        <sz val="10"/>
        <color theme="1"/>
        <rFont val="Arial"/>
        <family val="2"/>
      </rPr>
      <t xml:space="preserve"> mit anderen Redakteuren zum Zweck des Informations- und Erfahrungsaustausch zusammengearbeitet?</t>
    </r>
  </si>
  <si>
    <t>• Es wird gelegentlich mit anderen Redakteuren zum Zweck des Informations- und Erfahrungsaustausch zusammengearbeitet
• Durch eine Zusammenarbeit wird doppelte Arbeit durch mehrere Personen innerhalb der Redaktion vermieden
• Verantwortlichkeiten in der Redaktion sind projektbezogen definiert und dokumentiert
• Informationen bzw. Inhalte werden gelegentlich mit anderen Mitarbeitern innerhalb der Redaktion geteilt</t>
  </si>
  <si>
    <t>• Es existiert ein definierter Prozess zur projektbegleitenden, abteilungsübergreifenden Zusammenarbeit
• Es werden regelmäßig abteilungsübergreifend Teams zur Zusammenarbeit gebildet
• Die Mitarbeiter sind sensibilisiert für die Informationsergebnisse anderer Abteilungen, wodurch doppelte Arbeit abteilungsübergreifend vermieden werden kann
• Innerhalb der Teams werden Entscheidungen für den Entwicklungs- und den Redaktionsprozess getroffen</t>
  </si>
  <si>
    <t>Sind die Mitarbeiter sensibilisiert für die Informationsergebnisse anderer Abteilungen, wodurch doppelte Arbeit abteilungsübergreifend vermieden werden kann?</t>
  </si>
  <si>
    <t>• Den Mitarbeitenden relevante Richtlinien und Normen allgemein zugänglich gemacht
• Die Recherche nach einem definierten Prozess durchgeführt
• Die Durchführung der Recherche wird dokumentiert
• Gelegentlich wird die Aktualität der Richtlinien und Normen überprüft</t>
  </si>
  <si>
    <t>Werden einfache Methoden zur Qualitätssicherung (z.B. Vier-Augen-Prinzip, Checklisten) durchgeführt?</t>
  </si>
  <si>
    <t>• Dokumentationsinhalte werden in den definierten Formaten und Kanälen veröffentlicht.
• Veröffentlichungen sind nachvollziehbar geplant, freigegeben und dokumentiert.
• Nutzerinnen haben Zugriff auf die aktuellen und freigegebenen Inhalte.
• Verwaltungsprozesse sichern Konsistenz, Wiederverwendbarkeit und Transparenz der Publikationen.</t>
  </si>
  <si>
    <t>Das Zugriffsmanagement stellt sicher, dass Nutzerinnen nur auf die für sie relevanten und freigegebenen Dokumentationsinhalte zugreifen können. Ziel ist der Schutz vertraulicher Informationen, die Einhaltung rechtlicher Vorgaben und die nutzerorientierte Bereitstellung von Dokumentation.</t>
  </si>
  <si>
    <t>Dokumentationsinhalte sind in der für den Anwendungsfall passenden Granularität zugänglich sind. Ziel ist es, dass Nutzerinnen genau die Informationseinheit erhalten, die sie benötigen – sei es als vollständiges Dokument, als Modul, Topic oder einzelnes Datenelement.</t>
  </si>
  <si>
    <t>• Inhalte sind in einer definierten Granularität verfügbar (z. B. Dokument, Kapitel, Modul, Topic, Datenobjekt).
• Nutzerinnen erhalten bedarfsgerechten Zugriff auf Informationen (z. B. kontext- oder rollenbasiert).
• Granularität und Zugriffsmodell sind konsistent und nachvollziehbar dokumentiert.
• Die Informationsarchitektur unterstützt Wiederverwendung und effiziente Auslieferung.</t>
  </si>
  <si>
    <t>Ist die technische Dokumentation in einem strukturierten und nicht-proprietären Format (z.B. XML) zugänglich?</t>
  </si>
  <si>
    <t>Die Zielgruppenkenntnis beschreibt, in welchem Maß Unternehmen ihre Nutzerinnen, deren Anforderungen und Nutzungssituationen kennen und berücksichtigen. Ziel ist es, die Dokumentation systematisch an den Informationsbedürfnissen und Nutzungskontexten der Zielgruppen auszurichten.</t>
  </si>
  <si>
    <t>Die Subdimension „Services“ beschreibt, inwieweit die im Unternehmen vorhandenen Informationen und das zugehörige Wissen als Dienstleistung genutzt werden, um zusätzliche Mehrwerte für interne Abteilungen oder externe Kundinnen zu schaffen. Ziel ist es, Wissen aus dem Unternehmen und insbesondere aus der Redaktion bzw. Dokumentation strategisch einzusetzen und den Wertbeitrag der Dokumentation für die Organisation zu steigern.</t>
  </si>
  <si>
    <t>• Proaktive Wissensservices mit intelligenter Suche, Chatbots, kontextbezogenen Hilfen und Integration in Smart Services werden angeboten
• Eine kontinuierliche Weiterentwicklung dokumentationsgestützter Services erfolgt auf Basis von Feedback und Nutzungsanalysen
• Dokumentationsbasierte Services werden aktiv als strategischer Mehrwert für Kundinnen oder interne Abteilungen verstanden</t>
  </si>
  <si>
    <t xml:space="preserve">Werden dokumentationsbasierte Services aktiv als strategischer Mehrwert für Kundinnen oder interne Abteilungen verstanden? </t>
  </si>
  <si>
    <t>• Klare Zuständigkeiten für die Technische Dokumentation sind definiert.
• Die Erstellung erfolgt nicht mehr nur nebenbei, sondern in einem professionellen, redaktionellen Rahmen.
• Es existiert eine organisatorische Einheit oder Funktion für die Technische Redaktion.
• Fachkompetenz der Redakteurinnen ist gesichert und wird kontinuierlich weiterentwickelt.</t>
  </si>
  <si>
    <t>• Definition klarer Verantwortlichkeiten für die Erstellung und Pflege von Dokumentation.
• Aufbau einer redaktionellen Funktion oder Abteilung.
• Sicherstellung fachlicher und methodischer Qualifikation der Redakteurinnen.
• Integration der Redaktion in Unternehmensprozesse (z. B. Entwicklung, Service, Qualität).
• Kontinuierliche Professionalisierung und Weiterentwicklung der Redaktion.</t>
  </si>
  <si>
    <t>• Rollen- und Aufgabenbeschreibungen für die Technische Redaktion.
• Organigramme oder Verantwortlichkeitszuordnungen.
• Qualifikationsprofile oder Weiterbildungsnachweise für Redakteurinnen.
• Redaktionsleitlinien oder Handbücher.</t>
  </si>
  <si>
    <t>• Die Redaktion ist organisatorisch als feste Funktion oder Abteilung etabliert
• Die Technische Redaktion ist in zentrale Unternehmensprozesse integriert
• Die Technische Redaktion verfügt über ein unternehmensweites Denken bei der Verwaltung von Inhalten
• Eine gezielte Weiterbildung und Professionalisierung der Redakteurinnen erfolgt</t>
  </si>
  <si>
    <t>Erfolgt eine gezielte Weiterbildung und Professionalisierung der Redakteurinnen?</t>
  </si>
  <si>
    <r>
      <t xml:space="preserve">Wird die Dokumentation </t>
    </r>
    <r>
      <rPr>
        <b/>
        <sz val="10"/>
        <color theme="1"/>
        <rFont val="Arial"/>
        <family val="2"/>
      </rPr>
      <t>gelegentlich</t>
    </r>
    <r>
      <rPr>
        <sz val="10"/>
        <color theme="1"/>
        <rFont val="Arial"/>
        <family val="2"/>
      </rPr>
      <t xml:space="preserve"> als hilfreich für interne Abläufe oder Kundinnen wahrgenommen?</t>
    </r>
  </si>
  <si>
    <t>• Die Dokumentation wird gelegentlich als hilfreich für interne Abläufe oder Kundinnen wahrgenommen
• Es gibt erste Ansätze, die Dokumentation über die Pflicht hinaus zu nutzen</t>
  </si>
  <si>
    <t>Ist der Nutzen der Dokumentation für Effizienz und Kundenzufriedenheit in der Organisation anerkannt? Wird die Dokumentation als Teil der Produktqualität angesehen?</t>
  </si>
  <si>
    <t>Gibt es wiederkehrende Kommunikationsmaßnahmen, die den Stellenwert der Dokumentation betonen? Ist dieser in der Organisation anerkannt?</t>
  </si>
  <si>
    <t>• Ein Redaktionssystem oder CCMS wird eingesetzt, das Modularisierung, Wiederverwendung und Qualitätssicherung unterstützt
• Erste Schnittstellen zu angrenzenden Systemen sind eingerichtet
• Die Infrastruktur unterstützt die Zusammenarbeit mehrerer Redakteurinnen</t>
  </si>
  <si>
    <t>Unterstützt die Infrastruktur die Zusammenarbeit mehrerer Redakteurinnen?</t>
  </si>
  <si>
    <t>Greifen die redaktionellen Systeme und die Unternehmenssysteme auf dieselben Daten zu (Single Source of Truth)?</t>
  </si>
  <si>
    <t>„Interne Schnittstellen“ beschreibt die Gestaltung, Nutzung und Weiterentwicklung von Übergaben zwischen Abteilungen, Rollen und IT-Systemen innerhalb einer Organisation. Ziel ist es, den Informationsfluss konsistent, effizient und fehlerfrei zu gestalten, um Doppelarbeit, Informationsverluste und Medienbrüche zu vermeiden und eine integrierte Arbeitsweise sicherzustellen.</t>
  </si>
  <si>
    <t>Erfolgt der Informationsaustausch zwischen Abteilungen überwiegend informell (z. B. per E-Mail, Telefon, Excel)?</t>
  </si>
  <si>
    <t>Sind erste Übergaben zwischen bestimmten Abteilungen oder Systemen klar benannt (z. B. ERP → Redaktion)?</t>
  </si>
  <si>
    <t>Existieren erste Standards oder Formate für interne Übergaben, auch wenn sie nicht konsequent angewendet werden?</t>
  </si>
  <si>
    <t>Sind für einige Schnittstellen bereits Verantwortlichkeiten festgelegt?</t>
  </si>
  <si>
    <t>Sind interne Schnittstellenprozesse dokumentiert und für alle Beteiligten nachvollziehbar?</t>
  </si>
  <si>
    <t>Werden definierte Standards und Formate (z. B. Dateiformate, Datenstrukturen) konsistent angewendet?</t>
  </si>
  <si>
    <t>Sind Rollen und Verantwortlichkeiten für Schnittstellen eindeutig geregelt?</t>
  </si>
  <si>
    <t>Unterstützen Schulungen, Leitfäden oder Tools die Nutzung der Schnittstellen?</t>
  </si>
  <si>
    <t>Stehen Informationen konsistent und (nahezu) in Echtzeit mehreren Abteilungen zur Verfügung?</t>
  </si>
  <si>
    <t>Wird die Qualität der Schnittstellen regelmäßig überwacht (z. B. durch Monitoring oder Fehlermeldungen)?</t>
  </si>
  <si>
    <t>Werden auftretende Fehler dokumentiert und systematisch behoben?</t>
  </si>
  <si>
    <t>Erfolgen Datenflüsse vollständig automatisiert, in Echtzeit und ohne Redundanzen?</t>
  </si>
  <si>
    <t>Erfolgen Anpassungen und Optimierungen proaktiv, um zukünftige organisatorische oder technologische Anforderungen frühzeitig abzudecken?</t>
  </si>
  <si>
    <t>• Reibungslose, nachvollziehbare und standardisierte Übergaben innerhalb der Organisation.
• Klare Zuständigkeiten und Verantwortlichkeiten an Schnittstellen.
• Einheitliche Datenformate und Prozesse für interne Informationsflüsse.
• Transparenz über Schnittstellenabhängigkeiten und deren Qualität.</t>
  </si>
  <si>
    <t>• Identifikation und Priorisierung relevanter Schnittstellen innerhalb der Organisation.
• Definition von Übergabeverfahren und Standards (z. B. Dateiformate, Datenstrukturen).
• Etablierung von Verantwortlichkeiten für Schnittstellenpflege.
• Regelmäßiges Monitoring und Optimieren der Schnittstellenqualität.
• Einführung technischer Integrationen (z. B. API-Nutzung, Middleware).</t>
  </si>
  <si>
    <t>• Schnittstellenbeschreibungen (z. B. zwischen ERP, CMS, PDM, MES).
• Prozessdokumentationen mit klar definierten Übergabepunkten.
• Datenmappings und Integrationsrichtlinien.
• Monitoring- und Fehlerprotokolle zu Schnittstellen.</t>
  </si>
  <si>
    <t>• Der Informationsaustausch zwischen Abteilungen erfolgt überwiegend informell</t>
  </si>
  <si>
    <t>• Erste Übergaben zwischen bestimmten Abteilungen oder Systemen sind klar benannt
• Erste Standards oder Formate für interne Übergaben existieren, werden aber nicht konsequent angewendet
• Für einige Schnittstellen sind bereits Verantwortlichkeiten festgelegt</t>
  </si>
  <si>
    <t>• Interne Schnittstellenprozesse sind dokumentiert und für alle Beteiligten nachvollziehbar
• Definierte Standards und Formate werden konsistent angewendet
• Rollen und Verantwortlichkeiten für Schnittstellen sind eindeutig geregelt
• Schulungen, Leitfäden oder Tools unterstützen die Nutzung der Schnittstellen</t>
  </si>
  <si>
    <t>• Zentrale Systeme sind technisch integriert, sodass Übergaben automatisiert erfolgen
• Informationen stehen konsistent und nahezu in Echtzeit mehreren Abteilungen zur Verfügung
• Die Qualität der Schnittstellen wird regelmäßig überwacht
• Auftretende Fehler werden dokumentiert und systematisch behoben</t>
  </si>
  <si>
    <t>• Alle relevanten Systeme sind vollständig integriert über eine durchgängige Architektur
• Anpassungen und Optimierungen erfolgen proaktiv, um zukünftige organisatorische oder technologische Anforderungen frühzeitig abzudecken
• Datenflüsse erfolgen vollständig automatisiert, in Echtzeit und ohne Redundanzen</t>
  </si>
  <si>
    <t>„Externe Schnittstellen“ beschreibt die Definition, Nutzung und Weiterentwicklung von Übergaben und Datenaustauschen zwischen der eigenen Organisation und externen Partnern, Kunden oder Zulieferern. Ziel ist es, den Informationsfluss über Organisationsgrenzen hinweg sicher, standardisiert und interoperabel zu gestalten.</t>
  </si>
  <si>
    <t>Erfolgt der Austausch mit externen Partnern überwiegend manuell (z. B. per E-Mail, PDF, Excel)?</t>
  </si>
  <si>
    <t>Existieren erste festgelegte externe Schnittstellen zu bestimmten Partnern oder Kunden (z. B. regelmäßiger Export aus ERP)?</t>
  </si>
  <si>
    <r>
      <t xml:space="preserve">Werden für Übergaben </t>
    </r>
    <r>
      <rPr>
        <b/>
        <sz val="10"/>
        <color theme="1"/>
        <rFont val="Arial"/>
        <family val="2"/>
      </rPr>
      <t>gelegentlich</t>
    </r>
    <r>
      <rPr>
        <sz val="10"/>
        <color theme="1"/>
        <rFont val="Arial"/>
        <family val="2"/>
      </rPr>
      <t xml:space="preserve"> bereits bestimmte Formate genutzt, auch wenn diese nicht einheitlich sind?</t>
    </r>
  </si>
  <si>
    <t>Sind erste Verantwortlichkeiten für externe Schnittstellen definiert?</t>
  </si>
  <si>
    <t>Sind externe Schnittstellen dokumentiert und durchgängig standardisiert (z. B. klar definierte Formate, Prozesse, Verantwortlichkeiten)?</t>
  </si>
  <si>
    <t>Werden standardisierte Austauschformate wie XML, JSON oder CSV für den Datenaustausch mit Partnern genutzt?</t>
  </si>
  <si>
    <t>Erfolgt eine systematische Überprüfung und Abnahme der extern übermittelten Daten?</t>
  </si>
  <si>
    <r>
      <t xml:space="preserve">Sind externe Schnittstellenprozesse in die internen Abläufe integriert und </t>
    </r>
    <r>
      <rPr>
        <b/>
        <sz val="10"/>
        <color theme="1"/>
        <rFont val="Arial"/>
        <family val="2"/>
      </rPr>
      <t>regelmäßig</t>
    </r>
    <r>
      <rPr>
        <sz val="10"/>
        <color theme="1"/>
        <rFont val="Arial"/>
        <family val="2"/>
      </rPr>
      <t xml:space="preserve"> nutzbar?</t>
    </r>
  </si>
  <si>
    <t>Sind externe Schnittstellen technisch integriert, sodass Daten automatisiert ausgetauscht werden?</t>
  </si>
  <si>
    <t>Werden Sicherheits- und Freigabemechanismen (z. B. Verschlüsselung, Zugriffsrechte) konsequent angewendet?</t>
  </si>
  <si>
    <t>Sind alle relevanten externen Partner und Kunden über standardisierte, interoperable Schnittstellen angebunden?</t>
  </si>
  <si>
    <t>Werden externe Schnittstellen kontinuierlich überwacht, analysiert und anhand von Kennzahlen (KPIs) bewertet?</t>
  </si>
  <si>
    <t>Erfolgt der Datenaustausch in Echtzeit, automatisiert und ohne redundante Zwischenschritte?</t>
  </si>
  <si>
    <t>• Klare, nachvollziehbare Schnittstellen zu externen Akteuren.
• Sichere und standardisierte Datenflüsse.
• Integration in externe Systeme und branchenspezifische Standards.</t>
  </si>
  <si>
    <t>• Analyse der externen Anforderungen.
• Implementierung von Austauschformaten und Standards.
• Absicherung des Datenaustauschs (z. B. Verschlüsselung, Rechtekonzepte).
• Regelmäßige Qualitätssicherung der externen Schnittstellen.</t>
  </si>
  <si>
    <t>• Schnittstellenbeschreibungen für externe Partner (z. B. Kundenportale, Lieferantendatenbanken).
• Definierte Austauschformate (z. B. XML, JSON, iiRDS, ECLASS).
• Vereinbarungen zu Sicherheit und Freigaben.
• Monitoring-Reports über externe Datentransfers.</t>
  </si>
  <si>
    <t>• Der Austausch mit externen Partnern erfolgt überwiegend manuell</t>
  </si>
  <si>
    <t>• Erste festgelegte externe Schnittstellen zu bestimmten Partnern oder Kunden existieren
• Für Übergaben werden gelegentlich bereits bestimmte Formate genutzt, auch wenn diese nicht einheitlich sind
• Erste Verantwortlichkeiten für externe Schnittstellen sind definiert</t>
  </si>
  <si>
    <t>• Externe Schnittstellen sind dokumentiert und durchgängig standardisiert
• Standardisierte Austauschformate wie XML, JSON oder CSV werden für den Datenaustausch mit Partnern genutzt
• Externe Schnittstellenprozesse sind in die internen Abläufe integriert und regelmäßig nutzbar
• Eine systematische Überprüfung und Abnahme der extern übermittelten Daten erfolgt</t>
  </si>
  <si>
    <t>• Externe Schnittstellen sind technisch integriert, sodass Daten automatisiert ausgetauscht werden
• Der externe Austausch erfolgt über interoperable Standards
• Die Qualität der Schnittstellen wird regelmäßig überwacht und dokumentiert
• Sicherheits- und Freigabemechanismen werden konsequent angewendet</t>
  </si>
  <si>
    <t>• Alle relevanten externen Partner und Kunden sind über standardisierte, interoperable Schnittstellen angebunden
• Der Datenaustausch erfolgt in Echtzeit, automatisiert und ohne redundante Zwischenschritte
• Externe Schnittstellen werden kontinuierlich überwacht, analysiert und anhand von Kennzahlen bewertet</t>
  </si>
  <si>
    <r>
      <t xml:space="preserve">Wird die Qualität der Schnittstellen </t>
    </r>
    <r>
      <rPr>
        <b/>
        <sz val="10"/>
        <color theme="1"/>
        <rFont val="Arial"/>
        <family val="2"/>
      </rPr>
      <t>regelmäßig überwacht</t>
    </r>
    <r>
      <rPr>
        <sz val="10"/>
        <color theme="1"/>
        <rFont val="Arial"/>
        <family val="2"/>
      </rPr>
      <t xml:space="preserve"> und dokumentiert?</t>
    </r>
  </si>
  <si>
    <t>3 - definiert</t>
  </si>
  <si>
    <t>5 - optimiert</t>
  </si>
  <si>
    <t>Definiert</t>
  </si>
  <si>
    <t>Gemanagt</t>
  </si>
  <si>
    <t>Optimiert</t>
  </si>
  <si>
    <r>
      <rPr>
        <b/>
        <sz val="11"/>
        <color rgb="FFFF0000"/>
        <rFont val="Arial"/>
        <family val="2"/>
      </rPr>
      <t>3</t>
    </r>
    <r>
      <rPr>
        <sz val="11"/>
        <color theme="1"/>
        <rFont val="Arial"/>
        <family val="2"/>
      </rPr>
      <t xml:space="preserve"> - Definiert</t>
    </r>
  </si>
  <si>
    <r>
      <rPr>
        <b/>
        <sz val="11"/>
        <color rgb="FFFF0000"/>
        <rFont val="Arial"/>
        <family val="2"/>
      </rPr>
      <t>5</t>
    </r>
    <r>
      <rPr>
        <sz val="11"/>
        <color theme="1"/>
        <rFont val="Arial"/>
        <family val="2"/>
      </rPr>
      <t xml:space="preserve"> - Optimiert</t>
    </r>
  </si>
  <si>
    <t>Anhand des Reifegradmodells ist eine rasche und einheitliche Bestimmung von Reifegraden der technischen Dokumentation möglich. Hierzu werden je Subdimension spezifische Fragestellungen beantwortet. Das Reifegradmodell orientiert sich an den Reifegradstufen der Capability Maturity Model Integration (CMMI).</t>
  </si>
  <si>
    <t>2 - gemanagt</t>
  </si>
  <si>
    <t>4 - quantitativ gemanagt</t>
  </si>
  <si>
    <t>Quantitativ gemanagt</t>
  </si>
  <si>
    <r>
      <rPr>
        <b/>
        <sz val="11"/>
        <color rgb="FFFF0000"/>
        <rFont val="Arial"/>
        <family val="2"/>
      </rPr>
      <t>2</t>
    </r>
    <r>
      <rPr>
        <sz val="11"/>
        <color theme="1"/>
        <rFont val="Arial"/>
        <family val="2"/>
      </rPr>
      <t xml:space="preserve"> - Gemanagt</t>
    </r>
  </si>
  <si>
    <r>
      <rPr>
        <b/>
        <sz val="11"/>
        <color rgb="FFFF0000"/>
        <rFont val="Arial"/>
        <family val="2"/>
      </rPr>
      <t>4</t>
    </r>
    <r>
      <rPr>
        <sz val="11"/>
        <color theme="1"/>
        <rFont val="Arial"/>
        <family val="2"/>
      </rPr>
      <t xml:space="preserve"> - Quantitativ gemanagt</t>
    </r>
  </si>
  <si>
    <t>Das Reifegradmodell  ist ein fragenbasiertes Tool zur Erhebung der Reifegrade der technischen Dokumentation. Es wurde entwickelt, um Unternehmen eine Hilfestellung bei der nachhaltigen Weiterentwicklung der technischen Dokumentation zu geben.</t>
  </si>
  <si>
    <t>Prozesse bleiben unvorhersehbar und reaktiv. Der Erfolg auf dieser Ebene hängt hauptsächlich von den individuellen Anstrengungen und nicht von etablierten organisatorischen Prozessen ab.</t>
  </si>
  <si>
    <t>Organisationen auf dieser Ebene etablieren grundlegende Projektmanagementpraktiken. Projekte folgen grundlegenden Planungs- und Kontrollmechanismen und führen so zu vorhersehbareren Ergebnissen.</t>
  </si>
  <si>
    <t>Diese Ebene markiert einen deutlichen Wandel hin zu einer unternehmensweiten Prozessstandardisierung. Auf dieser Ebene werden einheitliche Vorgehensweisen in der gesamten Organisation etabliert und die Variabilität bei der Projektausführung verringert.</t>
  </si>
  <si>
    <t>Organisationen auf dieser Ebene verbessern ihre Prozesse systematisch durch inkrementelle und innovative Änderungen.</t>
  </si>
  <si>
    <t>Organisationen erreichen eine präzise Prozesskontrolle. Projekte arbeiten mit einem hohen Maß an Vorhersehbarkeit und nutzen Kennzahlen zur Verwaltung der Prozess- und Produktqualität.</t>
  </si>
  <si>
    <t>Glossar</t>
  </si>
  <si>
    <t>A</t>
  </si>
  <si>
    <t>Nutzen bei Erreichen der Stufe</t>
  </si>
  <si>
    <t>• Frühere Planbarkeit, da erste Kriterien für den Start vorhanden sind
• Vermeidung von kritischen Verzögerungen durch die Redaktion in Einzelfällen 
• gesteigerte Effizienz durch initale Klärung der Zuständigkeiten
--&gt; erste Stabilität</t>
  </si>
  <si>
    <t>• Klare Startpunkte erhöhen die Verlässlichkeit der Prozesse
• Bessere Planbarkeit von Ressourcen und Terminen
• Das Herunterbrechen in Einzelarbeitspakete erhöht die Transparenz im Redaktionsprozess und erleichtert die Identifikation von Verbesserungspotenzialen
--&gt; Verlässlichkeit und Effizienz</t>
  </si>
  <si>
    <t>• Dokumentation wird zu einem strategischen Enabler und unterstützt agile Entwicklungsprozesse und kann frühzeitig Wissen sichern
• Automatische Initiierung senkt den manuellen Aufwand
• Entlastung der Organisation durch vorausschauende Ressourcenplanung
--&gt; strategische Nutzung und Wettbewerbsvorteil</t>
  </si>
  <si>
    <t>• Reduzierte Abhängigkeit von Einzelpersonen
• geringerer Zeitaufwand für wiederkehrende Informationsrecherchen
• Verbesserung der Nachvollziehbarkeit durch vereinzelte Dokumentation von Quellen
--&gt; erste Stabilität und Entlastung</t>
  </si>
  <si>
    <t>• Die Etablierung des Push-Prinzips sorgt für erhöhte Transaprenz und Nachvollziehbarkeit über Informationsflüsse
• verlässliche Infpormationsqualität und -vollständigkeit
• effizientere Redaktionsarbeit durch weniger Doppelarbeit und Korrekturschleifen
--&gt; verlässliche Prozesse und Qualität</t>
  </si>
  <si>
    <t>• reduzierte Fehleranfälligkeit durch Wegfall von manuellen Übergaben
• Bessere Abstimmung mit anderen Abteilungen - redundante Arbeiten werden abteilungsübergreifend reduziert
• erhöhte Termintreue, da benötigte Informationen planbar verfügbar sind
--&gt; Integration bringt Effizienz und Konsistenz</t>
  </si>
  <si>
    <t>• Effizienzgewinne durch Wegfall von Such- und Abstimmungsaufwänden
• kontiunierliche Aktualität der Informationen
Wettbewerbsvorteil durch höhere Geschwindigkeiten bei Markteinführungen und Änderungsumsetzungen
--&gt; Proaktivität und Automatisierung sichern strategische Vorteile</t>
  </si>
  <si>
    <t xml:space="preserve">• </t>
  </si>
  <si>
    <t>• verbesserte Planbarkeit von Arbeitsaufwänden über Abteilungsgrenzen hinweg
• Fehlerreduktion durch nachvollziehbare Zuständigkeiten
• Redundanzreduktion durch abteilungsübergreifenden Austausch
--&gt; Effizienz und Verlässlichkeit</t>
  </si>
  <si>
    <t>• deutllich verbesserter Wissensaustausch
• stärkere Einbindung verschiedener Abteilungen führt zu weniger Medienbrüchen
• gesteigerte Mitarbeiterzufriedenheit durch klare Kommunikationswege
--&gt; Integration bringt Geschwindigkeit, bessere Qualität und höherre Zufriedenheit</t>
  </si>
  <si>
    <t>• nachhaltige Effizienzsteigerung durch kontinuierliche Verbesserung
• Organisation entwickelt eine Kultur des Wissensaustauschs und der Transparenz
• hohe Innovationsfähigkeit durch crossfunktionale, nahtlose Zusammenarbeit
--&gt; Optimierung sichert Innovationskraft und eine kollaborative Unternehmenskultur</t>
  </si>
  <si>
    <t>• Aufbau von Verlässlichkeit in bestimmten Kooperationen
• Verringerte Such- und Abstimmungsaufwände durch bekannte Ansprechpartner
--&gt; erste Stabilität durch feste Partner</t>
  </si>
  <si>
    <t>• höhere Qualität und Konsistenz externer Leistungen
• geringeres Risiko durch klar geregelte Abläufe und Verträge
• verbesserte Nachvollziehbarkeit und Dokumentation der Zusammenarbeit
--&gt; Qualität und Planbarkeit steigen</t>
  </si>
  <si>
    <t>• beschleunigte Prozesse durch digitale Integration externer Partner
• weniger Medienbrüche
• nahtlose Abstimmung und Qualitätskontrolle
engere Bindung und langfristige Partnerschaften mit externen Akteuren
--&gt; Integration bringt Effizienz und Geschwindigkeit</t>
  </si>
  <si>
    <t>• Wettbewerbsvorteil durch stabile, leistungsstarke Partnernetzwerke
• hohe Innovationsfähigkeit durch gemeinsame Entwicklung und Wissenstransfer
• geteiltes Risiko und gemeinsame Verantwortung zwischen Organsiationen und Partnern
--&gt; Strategische Partnerschaften sichern Innovationskraft und Wettbewerbsvorteile</t>
  </si>
  <si>
    <t>• minimiertes Haftungsrisiko
• Wettbewerbsvorteil durch schnelle Anpassung an neue rechtliche Rahmenbedingungen
• strategischer Beitrag zur Unternehmenssicherheit und Nachhaltigkeit
--&gt; proaktive Steuerung wird zum strategischen Wettbewerbsvorteil</t>
  </si>
  <si>
    <t>• frühzeitige Identifikation rechtlicher Anforderungen im Produktlebenszyklus
• höheres Vertrauen bei Kunden und Partnern
• positive Effekte durch Unternehmensimage und Compliance-Struktur
--&gt; Integration bringt Prozesssicherheit und Vertrauen</t>
  </si>
  <si>
    <t>• deutlich geringeres Haftungsrisiko durch systematische Absicherung
• Verlässlichkeit und Konsistenz bei der Umsetzung von Vorgaben
• verbesserte Nachvollziehbarkeit im Audit- oder Prüfungsfall
--&gt; verlässliche und effiziente Standardisierung</t>
  </si>
  <si>
    <t>• erhöhte Rechtssicherheit durch erste Vorgaben
--&gt; erste Sicherheit durch vereinzelte Anwendung</t>
  </si>
  <si>
    <t>• höhere Verlässlichkeit bei wiederkehrenden Aufgaben</t>
  </si>
  <si>
    <t>• messbare Qualität der Dokumentation
• Vertrauen in Ergebnisse steigt bei internen und externen Stakeholdern</t>
  </si>
  <si>
    <t>• Qualitätsdaten unterstützen die Weiterentwicklung von Prozessen und Produkten
• Wettbewerbsvorteil durch nachweislich verlässliche Dokumentation
• höhere Kundenzufriedenheit und geringeres Risiko von Reklamation</t>
  </si>
  <si>
    <t>• frühzeitige Fehlerekennung reduziert Korrekturschleifen
• höhere Termintreue durch stabile QS-Prozesse
• Qualität wird Teil des Gesmatprozesses und geschieht nicht mehr nachgelagert</t>
  </si>
  <si>
    <t>• verbesserte Orientierung für Redakteur:innen
• weniger Nacharbeit durch wiederkehrende Layouts und Strukturen</t>
  </si>
  <si>
    <t>• hohe Konsistenz über alle Dokumente hinweg
• bessere Wiederverwendbarkeit von Inhalten
• Effizientere Erstellung durch klare Vorgaben
• erleichterte Einarbeitung neuer Mitarbeiter</t>
  </si>
  <si>
    <t>• Flexibilität für verschiedene Publikationsformate
• Effizienzsteigerung durch verbesserte Auffindbarkeit und Wiederverwendung von Modulen
• Qualitätssicherung durch einheitliche Module
• deutliche Zeitersparnis bei Aktualisierungen</t>
  </si>
  <si>
    <t>• verbesserte Nutzerfreundlichkeit durch passgenaue Inhalte
• Wettbewerbsvorteil durch innovative Informationsbereitstellung
• erhöhte Aktualität, da Inhalte automatisiert zusammengestellt werden können
• strategische Verankerung der Dokumentation als Teil digitaler Services</t>
  </si>
  <si>
    <t>• vereinfachte Wiederverwendung bestimmter Inhalte
• bessere Orientierung bei häufig genutzten Varianten
• weniger Redundanzen</t>
  </si>
  <si>
    <t>• Effizienzsteigerungen bei Pflege und Erstellung
• bessere Planbarkeit von Übersetzungen und Produktdokumentationen
• reduzierte Fehlerquote durch klare Regeln</t>
  </si>
  <si>
    <t>• Effizienz durch automatische Ausgabe passender Varianten
• flexible und individuelle Bereitstellung für verschiedene Zielgruppen
• Wettbewerbsvorteil durch schnelle Reaktionsfähigkeit auf Markt- und Kundenanforderungen</t>
  </si>
  <si>
    <t>• hohe Wiederverwendbarkeit von Inhalten
• geringerer Zeit- und Kostenaufwand bei Änderungen
• schnelle Anpassung an neue Varianten
• konsistente Qualität über alle Varianten hinweg</t>
  </si>
  <si>
    <t>• erleichterte Auffindbarkeit einzelner Dokumente
• reduzierter Suchaufwand im Vergleich zu völlig unstrukturierten Inhalten</t>
  </si>
  <si>
    <t>• deutlich verbesserte Wiederverwendbarkeit von Inhalten
• effiziente Such- und Filtermöglichkeiten</t>
  </si>
  <si>
    <t>• deutlich geringerer Pflegeaufwand bei großen Datenmengen
• höhere Datenqualität durch Validierungen und Vorgaben</t>
  </si>
  <si>
    <t>• Effizienz durch automatische Klassifizierung und Kontextsteuerung
• personalisierte und kontextsensitve Bereitstellung von Inhalten für verschiedene Nutzergruppen
• Wettbewerbsvorteil durch smarte, flexible Content-Ausspielung</t>
  </si>
  <si>
    <t>• leichte Qualitätsverbesserung in einzelnen Projekten</t>
  </si>
  <si>
    <t>• höhere Verständlichkeit für Nutzende durch konsistente Begriffsnutzung
• höhere Effizienz bei Übersetzungen durch weniger Varianten
• weniger Abstimmungsaufwand zwischen Redkateur:innen
• verbesserte Marken- und Unternehmenssprache</t>
  </si>
  <si>
    <t>• deutlich geringerer Pflegeaufwand
• höhere Prozesssicherheit durch integrierte Prüfungen 
• konsistente Verwendung über Abteilungen hinweg
• erhebliche Kostensenkung in Übersetzungsprojekten</t>
  </si>
  <si>
    <t>• Effizienz durch automatisierte Terminologieprüfung und -vorschläge
• kontinuierliche Anpassung an neue Märkte, Produkte und Zielgruppen
• strategischer Vorteil durch klar differenzierte, konsistente Unternehmenssprache
• stärkere Nutzerorientierung durch vereinheitliche, verständliche Begriffe</t>
  </si>
  <si>
    <t>T</t>
  </si>
  <si>
    <t>Team, crossfunktionales</t>
  </si>
  <si>
    <t>• Verbesserung der Transparenz durch vereinzelte Kommunikationsroutinen
• Reduzierte Abhängigkeit von Einzelpersonen
• Erste Entlastung durch definierte Ansprechpersonen oder Absprachen
--&gt; erste Transparenz und Entlastung</t>
  </si>
  <si>
    <r>
      <t xml:space="preserve">Wird die </t>
    </r>
    <r>
      <rPr>
        <u/>
        <sz val="10"/>
        <color theme="9"/>
        <rFont val="Arial"/>
        <family val="2"/>
      </rPr>
      <t>crossfunktionale Teamarbeit</t>
    </r>
    <r>
      <rPr>
        <sz val="10"/>
        <color theme="1"/>
        <rFont val="Arial"/>
        <family val="2"/>
      </rPr>
      <t xml:space="preserve"> mit Hilfe von Kennzahlen gesteuert?</t>
    </r>
  </si>
  <si>
    <r>
      <t xml:space="preserve">Begriffe, die </t>
    </r>
    <r>
      <rPr>
        <u/>
        <sz val="11"/>
        <color theme="9"/>
        <rFont val="Arial"/>
        <family val="2"/>
      </rPr>
      <t>unterstrichen und in grüner Farbe</t>
    </r>
    <r>
      <rPr>
        <sz val="11"/>
        <rFont val="Arial"/>
        <family val="2"/>
      </rPr>
      <t xml:space="preserve"> dargestellt sind, sind in diesem Glossar zu finden. Mit einem Klick auf die Zelle, in der der Begriff steht, gelangt man zum Glossar.</t>
    </r>
  </si>
  <si>
    <t>C</t>
  </si>
  <si>
    <t>Corporate Design</t>
  </si>
  <si>
    <t>Corporate Identity</t>
  </si>
  <si>
    <t>I</t>
  </si>
  <si>
    <t>M</t>
  </si>
  <si>
    <t>Modell, semantisches</t>
  </si>
  <si>
    <t>• Reduzierung potenzieller Fehlerquellen
• Entlastung interne Ressourcen durch Auslagerung</t>
  </si>
  <si>
    <t>• Höhere Qualität und Effizienz bei Übersetzungen durch Softwareunterstützung
• Konsistente Übersetzung, unabhängig von Einzelpersonen
• verbesserte Nachvollziehbarkeit und Auditierbarkeit</t>
  </si>
  <si>
    <t>• kontinuierliche Verbesserung fremdsprachlicher technischer Dokumentation
• deutliche Kostensenkung durch Wiederverwendung von Übersetzungen
• schnellere Markteinführung durch kürzerre Übersetzungszyklen</t>
  </si>
  <si>
    <t>• Effizienz durch Echtzeit-Übersetzung
• Kosteneinsparungen in der Übersetzung durch KI
• strategische Vorteile bei der Erschließung neuer Märkte
• Wettbewerbsvorteil durch kontextsensitive, nutzerfreundliche Mehrsprachigkeit</t>
  </si>
  <si>
    <t>• weniger veraltete Informationen</t>
  </si>
  <si>
    <t>• konsistente Qualität und Zuverlässigkeit der Inhalte
• Kenntnis über die aktuelle Konfiguration erleichtert Service-Einsätze und abgestimmte Erstazteilangebote
• erhöhte Rechtskonformität durch nachvollziehbare Aktualisierungszyklen</t>
  </si>
  <si>
    <t>• schnellere Verfügbarkeit aktualisierter Inhalte
• stärkere Integration mit anderen Abteilungen
• Effizienzsteigerung durch Erinnerungen und Workflows</t>
  </si>
  <si>
    <t>• Verlässlichkeit durch jederzeit aktuelle Dokumentation
• Wettbewerbsvorteil durch zeitnahe Reaktion auf Produkt- und Marktänderungen
• strategische Unterstützung für digitale Services und Nutzerfreundlichkeit</t>
  </si>
  <si>
    <t>• geringeres Risiko von Fehlern und Doppelarbeit
• Rechtssicherheit durch lückenlose Änderungsdokumentation</t>
  </si>
  <si>
    <t>• erhebliche Effizienzsteigerung durch automatische Protokollierung
• paralleles Arbeiten mehrerer Personen ohne Konflikte</t>
  </si>
  <si>
    <t>• vollständige Rückverfolgbarkeit über den gesamten Produktlebenszyklus
• strategischer Vorteil durch hohe Prozesssicherheit und Compliance
• maximale Transparenz und Effizienz in komplexen Projekten</t>
  </si>
  <si>
    <t>• reduzierte Suchzeiten durch feste Ablageorte
• geringeres Risiko von Datenverlusten</t>
  </si>
  <si>
    <t>• vereinfachte Zusammenarbeit zwischen Abteilungen
• höhere Compliance durch nachvollziehbare Archivierung</t>
  </si>
  <si>
    <t>• deutlich geringerer Suchaufwand
• sichere Langzeitarchivierung
• Zugriffskontrolle und Berechtigungsmanagement erhöhen die Sicherheit</t>
  </si>
  <si>
    <t>• strategische Nutzung archivierter Daten für Analysen und Wissensmanagement
• Rechtskonformität durch Compliance-gerechte Archivierung</t>
  </si>
  <si>
    <t>• höhere Reichweite durch mehr Kanäle
• leichtere Zugänglichkeit für Nutzende
• weniger Fehler durch wiederkehrende Publikationsroutinen</t>
  </si>
  <si>
    <t>• bessere Planbarkeit von Veröffentlichungen
• reduzierte Fehlerquote durchh klare Verantwortlichkeiten</t>
  </si>
  <si>
    <t>• Nutzerfreundlichkeit durch passgenaue Inhalte
• Wettbewerbsvorteil durch innovative Content Delivery
• strategische Rolle der Dokumentation als Teil digitaler Services</t>
  </si>
  <si>
    <t>• Reduzierung von Haftungs- und Compliance-Risiken
• bessere Planbarkeit bei Publikationen für verschiedene Nutzergruppen</t>
  </si>
  <si>
    <t>• höhere Datensicherheit durch Integration in IT-Sicherheitskonzepte</t>
  </si>
  <si>
    <t>• Nutzerfreundlichkeit durch personalisierte Zugriffe
• hohe Sicherheit durch kontextsensitive Mechnismen
• strategischer Vorteil durch Integration in digitale Geschäftsmodelle
• Transparenz durch kontinuierliches Monitoring und Reporting</t>
  </si>
  <si>
    <t>• gezieltere Bereitstellung für bestimmte Zielgruppen
• erste Anpassungsmöglichkeiten für Märkte oder Produkte</t>
  </si>
  <si>
    <t>• bessere Wiederverwendbarkeit von Inhalten
• gezielte Informationsbereitstellung für bestimmte Anwendungsfälle</t>
  </si>
  <si>
    <t>• Nutzer erhalten genau die Informationen, die sie in ihrer Situation benötigen
• erhebliche Verbesserung der Nutzerfreundlichkeit
• Reduzierung von Fehlbedingungen oder Missverständnissen</t>
  </si>
  <si>
    <t>• höchstmögliche Relevanz der Informationen durch Aktualität und Kontextbezug
• Unterstützung digitaler Geschäftsmodelle
• strategischer Wettbewerbsvorteil durch dynamische und integrierte Content-Ökosysteme</t>
  </si>
  <si>
    <t>• höhere Reichweite
• erste Flexibilität in der Bereitstellung</t>
  </si>
  <si>
    <t>• Konsistenz der Inhalte über Kanäle hinweg
• bessere Planbarkeit von Publikationen</t>
  </si>
  <si>
    <t>• Effizienzsteigerung durch einmalige Inhaltspflege
• hohe Konsistenz und Aktualität über alle Kanäle
• schnelle Publikation in vielen Formaten gleichzeitig</t>
  </si>
  <si>
    <t>• Nutzerfreundlichkeit durch personalisierte Bereitstellung
• Wettbewerbsvorteil durch innovative Content Delivery
• strategische Rolle der Dokumentation als Teil digitaler Services und Ökosysteme</t>
  </si>
  <si>
    <t>• bessere Fokussierung
• erste Anpassung von Inhalten an unterschiedliche Nutzergruppen</t>
  </si>
  <si>
    <t>• höhere Passgenauigkeit der Inhalte
• Reduzierung von Missverständnissen und Fehlbedingungen</t>
  </si>
  <si>
    <t>• kontinuierliche Verbesserung der Dokumentation
• messbare Steigerung der Nutzerfreundlichkeit und Akzeptanz</t>
  </si>
  <si>
    <t>• hochgradig personalisierte Inhalte
• Wettbewerbsvorteil durch Nutzerzentrierung und Serviceorientierung
• strategischer Nutzung von Zielgruppenwissen für Produkt- und Serviceentwicklung</t>
  </si>
  <si>
    <t>• weniger Rückfragen an Support oder Service</t>
  </si>
  <si>
    <t>• konsistente, verständliche und anwenderfreundliche Inhalte
• geringere Fehlbedingungen durch klare Sprache und Struktur
• gesteigerte Effizienz in der Dokumentationserstellung</t>
  </si>
  <si>
    <t>• gezielte Optimierung auf Basis realer Bedarfe
• nachweisbare Verbesserung der Nutzerfahrung
• stärkere Kundenbindung durch wahrgenommene Relevanz</t>
  </si>
  <si>
    <t>• Nutzerfreundlichkeit durch passgenaue Informationen in Echtzeit
• Wettbewerbsvorteil durch Differenzierung im Service
• strategischer Beitrag zur Kunden- und Marktorientierung der Organisation</t>
  </si>
  <si>
    <t>• wahrnehmbare Verbesserungen für Endnutzer
• geringere Rückfrgen und weniger Missverständnisse</t>
  </si>
  <si>
    <t>• konsistente Verständlichkeit und Darstellungsweise
• höhere Verlässlichkeit für die Nutzer
• geringere Einarbeitungszeiten
• bessere Planabrkeit und gleichmäßige Qualität</t>
  </si>
  <si>
    <t>• gezielte Verbesserung der Inhalte auf Basis konkreter Daten
• höhere Akzeptanz und geringere Fehlbedingungen
• messbare Steigerung der Qualität aus Nutzersicht</t>
  </si>
  <si>
    <t>• Effizienz und Verständlichkeit für jede Zielgruppe
• Wettbewerbsvorteil durch personalisierte Nutzerführung
• Beitrag zur strategischen Differenzierung der Organisation</t>
  </si>
  <si>
    <t>• erste Verbesserungen durch spontane Anregungen
• erhöhte Praxisnähe in einzelnen Fällen</t>
  </si>
  <si>
    <t>• kontinuierliche Qualitätsverbesserung
• systematische Rückkopplung zwischen Nutzenden und Redaktion
• planbare Integration von Feedback in die Content-Pflege</t>
  </si>
  <si>
    <t>• höhere Effizienz bei der Bearbeitung
• breitere Datengrundlage für Verbesserungen
• reduzierte Reaktionszeiten auf Nutzerhinweise</t>
  </si>
  <si>
    <t>• maximale Nutzerorientierung durch schnelle Reaktion
• kontinuierliche Optimierung ohne Medienbrüche</t>
  </si>
  <si>
    <t>• erste Transparenz und Zugänglichkeit über individuelle Grenzen hinaus
• weniger Wissensverluste durch zentrale Ablage</t>
  </si>
  <si>
    <t>• konsistente Struktur und Auffindbarkeit
• erleichterte Zusammenarbeit und Wissensaustausch
• geringeres Risiko von Wissensverlusten</t>
  </si>
  <si>
    <t>• höhere Effizienz durch schnelle Auffindbarkeit von Informationen
• zentrale, sichere Speicherung mit klaren Verantwortlichkeiten
• Transparenz über vorhandenes Wissen und Wissenslücken
• bessere Integration in Geschäftsprozesse</t>
  </si>
  <si>
    <t>• maximale Verfügbarkeit und Aktualität von Wissen
• strategischer Vorteil durch Nutzung von Wissen als Ressource für Innovation
• kontinuierliche Optimierung von Prozessen durch datenbasiertes Wissensmanagement
• hohe Resilienz durch geringe Abhängigkeit von Einzelpersonen</t>
  </si>
  <si>
    <t>• Individuelle Unterstützung einzelner Mitarbeiter</t>
  </si>
  <si>
    <t>• planbare und gleichbleibende Unterstützung
• reduzierte Abhängigkeit von individuellen Experten</t>
  </si>
  <si>
    <t>• skalierbare Bereitstellung von Wissen für große Nutzergruppen
• Entlastung von Experten durch automatisierte Services
• ständige Verfügbarkeit von Wissen</t>
  </si>
  <si>
    <t>• konsistente, rechtssichere und benutzerfreundliche Dokumentation
• klare Verantwortlichkeiten für Inhalte
• bessere Koordination mit Fachabteilungen
• professioneller Standard im Content</t>
  </si>
  <si>
    <t>• Effizienzsteigerung durch Prozesse und Tools
• Skalierbarkeit bei steigenden Dokumentationsanforderungen
• systematische Qualitätssicherung
• enge Integration mit Produktentwicklung und Service</t>
  </si>
  <si>
    <t>• Dokumentation wird zum integralen Bestandteil von Produkten und Services
• Wettbewrbsvorteil durch hochwertige und innovative Content-Strategien
• Stärkung von Kundenzufriedenheit und Marktdifferenzierung</t>
  </si>
  <si>
    <t>• erste Anerkennung der Bedeutung für die Produktnutzung</t>
  </si>
  <si>
    <t>• klare Rolle der Dokumentation im Produktlebenszyklus</t>
  </si>
  <si>
    <t>• Beitrag zur Wettbewerbsfähigkeit durch professionelle Nutzerunterstützung
• interne Entlastung durch strukturierte Prozesse und Wiederverwendung</t>
  </si>
  <si>
    <t>• erheblicher Wettbewerbsvorteil durch Nutzung der technischen Dokumentation
• strategische Nutzung für digitale Services und Kundenbindung
• Stärkung der Unternehmensmarke durch exzellente Nutzerkommunikation
• Dokumentation als Innovationstreiber</t>
  </si>
  <si>
    <t>• zunehmendes Bewusstsein für den Wert der Dokumentation</t>
  </si>
  <si>
    <t>• Förderung von Zusammenarbeit und Wissensaustausch
• steigende Akzeptanz führt zu besserer Qualität</t>
  </si>
  <si>
    <t>• Effizienzgewinne in Projekten durch gemeinsame Wissensbasis
• bessere Zusammenarbeit zwischen Abteilungen
• Fördeurng von Verantwortungsbewusstsein für Inhalte</t>
  </si>
  <si>
    <t>• kontinuierliche Qualitätsverbesserung durch breite Akzeptanz
• Beitrag zur Innovationsfähigkeit durch geteiltes Wissen
• nachhaltige Verankerung der Dokumentation als Wettbewerbsvorteil
• Identifikation von Mitarbeitenden und Kunden mit den Werten des Unternehmens</t>
  </si>
  <si>
    <t>• verbesserte Orientierung
• reduzierte Informationsverluste</t>
  </si>
  <si>
    <t>• verlässliche und effiziente Zusammenarbeit
• klare Zuständigkeiten und Abläufe
• reduzierte Abstimmungsaufwände
• höhere Qualität und Konsistenz der Inhalte</t>
  </si>
  <si>
    <t>• Automatisierung reduziert manuelle Fehler und Abstimmungsbedarf
• schnellere Informationsflüsse
• erhöhte Transparenz und Nachvollziehbarkeit</t>
  </si>
  <si>
    <t>• Effizienz durch bereichsübergreifende Kollaboration
• Förderung von Innovation durch konitnuierlichen Wissensaustausch
• Dokumentation wird zum verbindenden Element zwischen Abteilungen</t>
  </si>
  <si>
    <t>• reduzierte Informationsverluste
• bessere Erreichbarkeit und Verbindlichkeit in wiederkehrenden Fällen</t>
  </si>
  <si>
    <t>• höhere Verlässlickeit und Konsistenz im Austausch
• klar geregelte Verantwortlichkeiten
• Reduzierung von Missverständnissen und Doppelarbeiten
• bessere rechtliche Absicherung</t>
  </si>
  <si>
    <t>• schnellere Informationsflüsse und weniger manuelle Aufwände
• verbesserte Transparenz und Nachvollziehbarkeit
• einfache Skalierbarkeit bei wachsender Zahl an Partnern</t>
  </si>
  <si>
    <t>• enge, vertrauensvolle Kooperation mit externen Stakeholdern
• gemeinsame Innovationsprojekte durch geteilte Informationsbasis
• Wettbewerbsvorteil durch schnelle Anpassung an Markt- und Kundenanforderungen
• strategische Positionierung durch starke Parnternetzwerke</t>
  </si>
  <si>
    <t>1.0</t>
  </si>
  <si>
    <r>
      <t xml:space="preserve">Ist der Redaktionsleitfaden verknüpft mit der </t>
    </r>
    <r>
      <rPr>
        <u/>
        <sz val="10"/>
        <color theme="9"/>
        <rFont val="Arial"/>
        <family val="2"/>
      </rPr>
      <t>Corporate Identity</t>
    </r>
    <r>
      <rPr>
        <sz val="10"/>
        <rFont val="Arial"/>
        <family val="2"/>
      </rPr>
      <t xml:space="preserve">/ dem </t>
    </r>
    <r>
      <rPr>
        <u/>
        <sz val="10"/>
        <color theme="9"/>
        <rFont val="Arial"/>
        <family val="2"/>
      </rPr>
      <t>Corporate Design</t>
    </r>
    <r>
      <rPr>
        <sz val="10"/>
        <rFont val="Arial"/>
        <family val="2"/>
      </rPr>
      <t>?</t>
    </r>
  </si>
  <si>
    <r>
      <t xml:space="preserve">Werden Metadaten oder Klassifikationen systematisch eingesetzt, um die Strukturierung zu unterstützen? Folgt die Struktur einem semantischen Modell (z.B. </t>
    </r>
    <r>
      <rPr>
        <u/>
        <sz val="10"/>
        <color theme="9"/>
        <rFont val="Arial"/>
        <family val="2"/>
      </rPr>
      <t>iiRDS</t>
    </r>
    <r>
      <rPr>
        <sz val="10"/>
        <rFont val="Arial"/>
        <family val="2"/>
      </rPr>
      <t>)?</t>
    </r>
  </si>
  <si>
    <r>
      <t xml:space="preserve">Werden innovative Ansätze (z. B. </t>
    </r>
    <r>
      <rPr>
        <u/>
        <sz val="10"/>
        <color theme="9"/>
        <rFont val="Arial"/>
        <family val="2"/>
      </rPr>
      <t>semantische Modelle</t>
    </r>
    <r>
      <rPr>
        <sz val="10"/>
        <rFont val="Arial"/>
        <family val="2"/>
      </rPr>
      <t>, KI-gestützte Strukturierung) aktiv evaluiert und eingesetzt?</t>
    </r>
  </si>
  <si>
    <r>
      <t xml:space="preserve">Sind verbindliche Strukturkonventionen bzw. Informationsarchitekturen zur Strukturierung der Dokumentation vorhanden (z.B. </t>
    </r>
    <r>
      <rPr>
        <u/>
        <sz val="10"/>
        <color theme="9"/>
        <rFont val="Arial"/>
        <family val="2"/>
      </rPr>
      <t>DITA</t>
    </r>
    <r>
      <rPr>
        <sz val="10"/>
        <rFont val="Arial"/>
        <family val="2"/>
      </rPr>
      <t>)?</t>
    </r>
  </si>
  <si>
    <r>
      <t xml:space="preserve">Werden Übersetzungen durch Übersetzungsressourcen (z.B. </t>
    </r>
    <r>
      <rPr>
        <u/>
        <sz val="10"/>
        <color theme="9"/>
        <rFont val="Arial"/>
        <family val="2"/>
      </rPr>
      <t>Translation Memory</t>
    </r>
    <r>
      <rPr>
        <sz val="10"/>
        <rFont val="Arial"/>
        <family val="2"/>
      </rPr>
      <t>) unterstützt?</t>
    </r>
  </si>
  <si>
    <r>
      <t xml:space="preserve">Erfolgt eine unternehmensweite Harmonisierung mit anderen Systemen (z. B. </t>
    </r>
    <r>
      <rPr>
        <u/>
        <sz val="10"/>
        <color theme="9"/>
        <rFont val="Arial"/>
        <family val="2"/>
      </rPr>
      <t>PLM</t>
    </r>
    <r>
      <rPr>
        <sz val="10"/>
        <rFont val="Arial"/>
        <family val="2"/>
      </rPr>
      <t xml:space="preserve">, </t>
    </r>
    <r>
      <rPr>
        <u/>
        <sz val="10"/>
        <color theme="9"/>
        <rFont val="Arial"/>
        <family val="2"/>
      </rPr>
      <t>ERP</t>
    </r>
    <r>
      <rPr>
        <sz val="10"/>
        <rFont val="Arial"/>
        <family val="2"/>
      </rPr>
      <t xml:space="preserve">, </t>
    </r>
    <r>
      <rPr>
        <u/>
        <sz val="10"/>
        <color theme="9"/>
        <rFont val="Arial"/>
        <family val="2"/>
      </rPr>
      <t>DMS</t>
    </r>
    <r>
      <rPr>
        <sz val="10"/>
        <rFont val="Arial"/>
        <family val="2"/>
      </rPr>
      <t>) zur ganzheitlichen Archivverwaltung?</t>
    </r>
  </si>
  <si>
    <t>Translation Memory</t>
  </si>
  <si>
    <t>P</t>
  </si>
  <si>
    <t>PLM (Product Lifecycle Management)</t>
  </si>
  <si>
    <t>D</t>
  </si>
  <si>
    <t>E</t>
  </si>
  <si>
    <t>O</t>
  </si>
  <si>
    <t>Ontologie</t>
  </si>
  <si>
    <r>
      <t xml:space="preserve">Werden Publikations- und Verwaltungsprozesse kontinuierlich verbessert und an neue Anforderungen (z. B. </t>
    </r>
    <r>
      <rPr>
        <u/>
        <sz val="10"/>
        <color theme="9"/>
        <rFont val="Arial"/>
        <family val="2"/>
      </rPr>
      <t>Omnichannel</t>
    </r>
    <r>
      <rPr>
        <sz val="10"/>
        <rFont val="Arial"/>
        <family val="2"/>
      </rPr>
      <t xml:space="preserve">, </t>
    </r>
    <r>
      <rPr>
        <u/>
        <sz val="10"/>
        <color theme="9"/>
        <rFont val="Arial"/>
        <family val="2"/>
      </rPr>
      <t>Headless Delivery</t>
    </r>
    <r>
      <rPr>
        <sz val="10"/>
        <rFont val="Arial"/>
        <family val="2"/>
      </rPr>
      <t>) angepasst?</t>
    </r>
  </si>
  <si>
    <t>Omnichannel</t>
  </si>
  <si>
    <t>H</t>
  </si>
  <si>
    <t>Headless Delivery</t>
  </si>
  <si>
    <r>
      <t xml:space="preserve">Sind die Module über Identifikatoren (z.B. </t>
    </r>
    <r>
      <rPr>
        <u/>
        <sz val="10"/>
        <color theme="9"/>
        <rFont val="Arial"/>
        <family val="2"/>
      </rPr>
      <t>URI</t>
    </r>
    <r>
      <rPr>
        <sz val="10"/>
        <rFont val="Arial"/>
        <family val="2"/>
      </rPr>
      <t>s) eindeutig zugänglich?</t>
    </r>
  </si>
  <si>
    <r>
      <t xml:space="preserve">Unterstützen Systeme (z. B. </t>
    </r>
    <r>
      <rPr>
        <u/>
        <sz val="10"/>
        <color theme="9"/>
        <rFont val="Arial"/>
        <family val="2"/>
      </rPr>
      <t>CCMS</t>
    </r>
    <r>
      <rPr>
        <sz val="10"/>
        <rFont val="Arial"/>
        <family val="2"/>
      </rPr>
      <t>) die Verwaltung und Auslieferung dieser granularen Inhalte?</t>
    </r>
  </si>
  <si>
    <t>U</t>
  </si>
  <si>
    <r>
      <t xml:space="preserve">Werden Inhalte über </t>
    </r>
    <r>
      <rPr>
        <u/>
        <sz val="10"/>
        <color theme="9"/>
        <rFont val="Arial"/>
        <family val="2"/>
      </rPr>
      <t>API</t>
    </r>
    <r>
      <rPr>
        <sz val="10"/>
        <rFont val="Arial"/>
        <family val="2"/>
      </rPr>
      <t>s oder Schnittstellen in externe Systeme integriert und flexibel auf neuen Plattformen nutzbar gemacht?</t>
    </r>
  </si>
  <si>
    <r>
      <t xml:space="preserve">Ist die Dokumentationskultur vorbildlich, wird intern gelebt und extern kommuniziert (z. B. in </t>
    </r>
    <r>
      <rPr>
        <u/>
        <sz val="10"/>
        <color theme="9"/>
        <rFont val="Arial"/>
        <family val="2"/>
      </rPr>
      <t>CSR</t>
    </r>
    <r>
      <rPr>
        <sz val="10"/>
        <rFont val="Arial"/>
        <family val="2"/>
      </rPr>
      <t>, Recruiting)?</t>
    </r>
  </si>
  <si>
    <r>
      <t xml:space="preserve">Sind zentrale Systeme (z. B. ERP, CMS, </t>
    </r>
    <r>
      <rPr>
        <u/>
        <sz val="10"/>
        <color theme="9"/>
        <rFont val="Arial"/>
        <family val="2"/>
      </rPr>
      <t>PDM</t>
    </r>
    <r>
      <rPr>
        <sz val="10"/>
        <rFont val="Arial"/>
        <family val="2"/>
      </rPr>
      <t>) technisch integriert, sodass Übergaben automatisiert erfolgen?</t>
    </r>
  </si>
  <si>
    <r>
      <t xml:space="preserve">Sind alle relevanten Systeme vollständig integriert über eine durchgängige Architektur (z. B. APIs, </t>
    </r>
    <r>
      <rPr>
        <u/>
        <sz val="10"/>
        <color theme="9"/>
        <rFont val="Arial"/>
        <family val="2"/>
      </rPr>
      <t>Middleware</t>
    </r>
    <r>
      <rPr>
        <sz val="10"/>
        <rFont val="Arial"/>
        <family val="2"/>
      </rPr>
      <t>)?</t>
    </r>
  </si>
  <si>
    <t>Middleware</t>
  </si>
  <si>
    <t>PDM (Product Data Management)</t>
  </si>
  <si>
    <r>
      <t xml:space="preserve">Erfolgt der externe Austausch über interoperable Standards (z. B. iiRDS, </t>
    </r>
    <r>
      <rPr>
        <u/>
        <sz val="10"/>
        <color theme="9"/>
        <rFont val="Arial"/>
        <family val="2"/>
      </rPr>
      <t>ECLASS</t>
    </r>
    <r>
      <rPr>
        <sz val="10"/>
        <rFont val="Arial"/>
        <family val="2"/>
      </rPr>
      <t xml:space="preserve">, </t>
    </r>
    <r>
      <rPr>
        <u/>
        <sz val="10"/>
        <color theme="9"/>
        <rFont val="Arial"/>
        <family val="2"/>
      </rPr>
      <t>OPC UA</t>
    </r>
    <r>
      <rPr>
        <sz val="10"/>
        <rFont val="Arial"/>
        <family val="2"/>
      </rPr>
      <t>)?</t>
    </r>
  </si>
  <si>
    <t>ECLASS</t>
  </si>
  <si>
    <t>OPC UA</t>
  </si>
  <si>
    <r>
      <t xml:space="preserve">Enthalten Produkte standardisierte Schnittstellen (z. B. </t>
    </r>
    <r>
      <rPr>
        <u/>
        <sz val="10"/>
        <color theme="9"/>
        <rFont val="Arial"/>
        <family val="2"/>
      </rPr>
      <t>Ethernet</t>
    </r>
    <r>
      <rPr>
        <sz val="10"/>
        <rFont val="Arial"/>
        <family val="2"/>
      </rPr>
      <t xml:space="preserve">, </t>
    </r>
    <r>
      <rPr>
        <u/>
        <sz val="10"/>
        <color theme="9"/>
        <rFont val="Arial"/>
        <family val="2"/>
      </rPr>
      <t>Feldbus</t>
    </r>
    <r>
      <rPr>
        <sz val="10"/>
        <rFont val="Arial"/>
        <family val="2"/>
      </rPr>
      <t>, API), die eine Anbindung an andere Systeme erlauben?</t>
    </r>
  </si>
  <si>
    <t>Ethernet</t>
  </si>
  <si>
    <t>F</t>
  </si>
  <si>
    <t>Feldbus</t>
  </si>
  <si>
    <t>CCMS (Component Content Management System)</t>
  </si>
  <si>
    <t>CMS (Content Management System)</t>
  </si>
  <si>
    <t>spezialisierte Form eines Content Management Systems (CMS), die speziell für die Verwaltung, Speicherung und Wiederverwendung von Inhalten in einer granularen Form, bekannt als Komponenten, entwickelt wurde (https://carstens-techdok.de/ccms/)</t>
  </si>
  <si>
    <t>Programmteil, der von einem Softwaresystem anderen Programmen zur Anbindung an das System zur Verfügung gestellt wird (https://de.wikipedia.org/wiki/Programmierschnittstelle)</t>
  </si>
  <si>
    <t>Software oder Service zur gemeinschaftlichen Erstellung, Bearbeitung, Organisation, Darstellung und Auslieferung digitaler Inhalte (Content) zur Verwendung in Webseiten, Apps, Digital Signage und anderen Medienformen (https://de.wikipedia.org/wiki/Content-Management-System)</t>
  </si>
  <si>
    <t>Teil des Corporate Branding. Es umfasst die visuelle und sprachliche Inszenierung der Marke und dient dazu, die Identität und Werte eines Unternehmens sichtbar zu machen (https://www.syndicate.de/was-ist-corporate-design/#:~:text=Das%20Corporate%20Design%20ist%20neben,eines%20Unternehmens%20sichtbar%20zu%20machen.)</t>
  </si>
  <si>
    <t>Gesamtheit der Merkmale, die ein Unternehmen kennzeichnet und es von anderen Unternehmen unterscheidet. Die Corporate Identity ist damit das Selbstbild des Unternehmens (https://de.wikipedia.org/wiki/Corporate_Identity)</t>
  </si>
  <si>
    <t>CSR (Corporate Social Responsibility)</t>
  </si>
  <si>
    <t>Integration von ökologischen, sozialen und wirtschaftlichen Faktoren in die Unternehmenstätigkeit auf freiwilliger und manchmal auch rechtlicher Basis. Die Aktivitäten der Unternehmen werden hier im weitesten Sinne verstanden: wirtschaftliche Aktivitäten, interne Interaktionen (Arbeitnehmer, Manager, Aktionäre) und externe Interaktionen (Lieferanten, Kunden) (https://de.wikipedia.org/wiki/Corporate_Social_Responsibility)</t>
  </si>
  <si>
    <t>DMS (Document Management System)</t>
  </si>
  <si>
    <t>DITA (Darwin Information Typing Architecture)</t>
  </si>
  <si>
    <t>datenbankgestützte Verwaltung elektronischer Dokumente (https://de.wikipedia.org/wiki/Dokumentenmanagement)</t>
  </si>
  <si>
    <t>Datenstandard für die Klassifizierung von Produkten und Dienstleistungen mit Hilfe von standardisierten ISO-konformen Merkmalen. Der ECLASS-Standard ermöglicht den digitalen Austausch von Produktstammdaten über Branchen, Länder, Sprachen oder Organisationen hinweg (https://de.wikipedia.org/wiki/ECLASS)</t>
  </si>
  <si>
    <t>ERP (Enterprise Resource Planning)</t>
  </si>
  <si>
    <t xml:space="preserve"> unternehmerische Aufgabe, Personal, Ressourcen, Kapital, Betriebsmittel, Material sowie Informations- und Kommunikationstechnik im Sinne des Unternehmenszwecks rechtzeitig und bedarfsgerecht zu planen, zu steuern und zu verwalten. Gewährleistet werden soll ein effizienter betrieblicher Wertschöpfungsprozess und eine stetig optimierte Steuerung der unternehmerischen und betrieblichen Abläufe (https://de.wikipedia.org/wiki/Enterprise-Resource-Planning)</t>
  </si>
  <si>
    <t>Technik, die Software (Protokolle usw.) und Hardware (Kabel, Verteiler, Netzwerkkarten usw.) für kabelgebundene Datennetze spezifiziert, welche ursprünglich für lokale Datennetze (LANs) gedacht war und daher auch als LAN-Technik bezeichnet wird. Sie ermöglicht den Datenaustausch in Form von Datenframes zwischen den in einem lokalen Netz (LAN) angeschlossenen Geräten (https://de.wikipedia.org/wiki/Ethernet)</t>
  </si>
  <si>
    <t>Bussystem, das in einer Anlage Feldgeräte wie Messfühler (Sensoren) und Stellglieder (Aktoren) zur Kommunikation mit einem Automatisierungsgerät verbindet. Wenn mehrere Kommunikationsteilnehmer ihre Nachrichten über dieselbe Leitung senden, dann muss festgelegt sein, wer (Kennung) was (Messwert, Befehl) wann (Initiative) sagt. Hierfür gibt es normierte Protokolle (https://de.wikipedia.org/wiki/Feldbus)</t>
  </si>
  <si>
    <t>bezieht sich auf eine Architektur, die das Content-Backend von der Frontend-Anzeige entkoppelt, sodass Inhalte über eine API an beliebige Kanäle und Endgeräte verteilt werden können. Im Gegensatz zu herkömmlichen Systemen wird bei Headless Delivery nur der reine Inhalt (oft als Daten wie JSON) an die Benutzeroberfläche ausgeliefert, was eine größere Flexibilität und Skalierbarkeit bei der Personalisierung von Inhalten über verschiedene Kanäle hinweg ermöglicht (https://documentation.coremedia.com/discover/api/headless-server-api/)</t>
  </si>
  <si>
    <t>iiRDS (intelligent information Request and Delivery Standard)</t>
  </si>
  <si>
    <t>technischer Standard für die Auslieferung von digitalen Anwenderinformationen, z. B. elektronischen Betriebsanleitungen und Gebrauchsanleitungen (https://de.wikipedia.org/wiki/IiRDS)</t>
  </si>
  <si>
    <t>anwendungsneutrale Programme, die so zwischen Anwendungen vermitteln, dass die Komplexität dieser Applikationen und ihre Infrastruktur verborgen werden (https://de.wikipedia.org/wiki/Middleware)</t>
  </si>
  <si>
    <t>im Rahmen der Datenmodellierung eine abstrakte, formale Beschreibung und Darstellung eines Ausschnittes der in einem bestimmten Zusammenhang (z. B. eines Projekts) „wahrgenommenen Welt“. Zur Formulierung semantischer Datenmodelle existieren verschiedene Modellierungssprachen, von denen das Entity-Relationship-Modell das bekannteste ist (https://de.wikipedia.org/wiki/Semantisches_Datenmodell)</t>
  </si>
  <si>
    <t xml:space="preserve"> kanalübergreifendes Geschäftsmodell für Unternehmen zum Verbessern des Kundenerfahrungsmanagements. Der Ansatz wird in den Bereichen Gesundheitswesen, Regierungsbehörden und Finanzdienstleistungen sowie in der Einzelhandels[1]- und Telekommunikationsbranche genutzt, wobei als Kanäle z. B. physische Standorte, FAQ-Webseiten, soziale Medien, Live-Webchats, mobile Anwendungen und Telefonkommunikation zum Einsatz kommen.[2][3] Unternehmen, die das Omnichannel-Konzept umsetzen, argumentieren, dass Kunden über mehrere Kanäle gleichzeitig in ständigem Kontakt mit einem Unternehmen sein möchten (https://de.wikipedia.org/wiki/Omnichannel)</t>
  </si>
  <si>
    <t>sprachlich gefasste und formal geordnete Darstellungen einer Menge von Begriffen und der zwischen ihnen bestehenden Beziehungen in einem bestimmten Gegenstandsbereich (in Anlehnung an den klassischen Begriff der Ontologie). Sie werden dazu genutzt, „Wissen“ in digitalisierter und formaler Form zwischen Prozessen (oft Anwendungsprogrammen) und Diensten auszutauschen. Wissen umfasst dabei sowohl Allgemeinwissen als auch Wissen über sehr spezielle Themengebiete und Vorgänge (https://de.wikipedia.org/wiki/Ontologie_(Informatik))</t>
  </si>
  <si>
    <t>Standard für den Datenaustausch als plattformunabhängige, service-orientierte Architektur (SOA)[1]. Sie führt die Fähigkeit ein, Maschinendaten (Regelgrößen, Messwerte, Parameter usw.) nicht nur zu transportieren, sondern auch maschinenlesbar semantisch zu beschreiben (https://de.wikipedia.org/wiki/OPC_Unified_Architecture)</t>
  </si>
  <si>
    <t>speichert und verwaltet produktdefinierende, repräsentierende und präsentierende Daten als Ergebnis der Produktentwicklung und stellt sie in nachgelagerten Phasen des Produktlebenszyklus zur Verfügung (https://de.wikipedia.org/wiki/Produktdatenmanagement)</t>
  </si>
  <si>
    <t>PIM (Product Information Management)</t>
  </si>
  <si>
    <t>Bereitstellung von Produktinformationen für den Einsatz in verschiedenen Ausgabemedien beziehungsweise Vertriebskanälen sowie für unterschiedliche Standorte (https://de.wikipedia.org/wiki/Produktinformationsmanagement)</t>
  </si>
  <si>
    <t>Konzept zur nahtlosen Integration sämtlicher Informationen, die im Verlauf des Lebenszyklus eines Produktes anfallen (https://de.wikipedia.org/wiki/Product-Lifecycle-Management)</t>
  </si>
  <si>
    <t>Gruppen von Menschen mit einer Vielzahl von Fähigkeiten und Erfahrungen, die alle auf ein gemeinsames Ziel hinarbeiten. Statt also ein Projekt von Team zu Team bis zum Markteinführungstermin weiterzugeben, kann ein einziges Team jeden Aspekt des Projekts bearbeiten (https://www.dropbox.com/de/resources/cross-functional-teams)</t>
  </si>
  <si>
    <t xml:space="preserve"> Datenbank mit strukturierten Übersetzungen, die die Hauptkomponente von Anwendungen zur rechnerunterstützten Übersetzung (Computer-aided translation, abgekürzt CAT) darstellt (https://de.wikipedia.org/wiki/%C3%9Cbersetzungsspeicher)</t>
  </si>
  <si>
    <t>URI (Uniform Resource Identifier)</t>
  </si>
  <si>
    <t>Identifikator bestehend aus einer Zeichenfolge, die zur Identifizierung einer abstrakten oder physischen Ressource dient. URIs werden zur Bezeichnung von Ressourcen (wie Webseiten, sonstigen Dateien, Aufruf von Webservices, aber auch E-Mail-Empfängern) im Internet und dort vor allem im WWW eingesetzt (https://de.wikipedia.org/wiki/Uniform_Resource_Identifier)</t>
  </si>
  <si>
    <t>Dokumentenformat, ähnlich dem bekannten DocBook. DITA wird vom OASIS DITA Technical Committee als freie Architektur entwickelt und steht als Dokumenttypdefinition (DTD) kostenlos zur Verfügung. Das Format basiert auf XML: Im Gegensatz zu DocBook gibt es für DITA keine SGML-basierte Dokumenttypdefinition (DTD) (https://de.wikipedia.org/wiki/Darwin_Information_Typing_Architecture)</t>
  </si>
  <si>
    <t>Startpunkt der redaktionellen Tätigkeiten eindeutig definieren, die erforderlichen Aktivitäten anstoßen und die notwendigen Rahmenbedingungen (z. B. Zuständigkeiten, Ressourcen, Zeitplan) festzulegen, um einen reibungslosen Ablauf der Dokumentationserstellung sicherzustellen.</t>
  </si>
  <si>
    <t>• höhere Qualität einzelner Arbeitsschritte
• Entlastung bei Routineaufgaben
--&gt; erste Qualitätsgewinne durch spezialisierte Tools</t>
  </si>
  <si>
    <t>• Konsistenz der Ergebnisse
• bessere Zusammenarbeit in der Redaktion
• geringerer Schulungsaufwand für neue Mitarbeitende
• höhere Effizienz durch klare Prozesse
--&gt; Standardisierung bringt Konsistenz und Effizienz</t>
  </si>
  <si>
    <t>• Effizienzsteigerung durch durchgängige Workflows
• reduzierte Fehlerquote durch automatische Datenübernahme
• höhere Transparenz und Nachvollziehbarkeit
• vereinfachte Pflege großer Informationsmengen
--&gt; Integration steigert die Geschwindigkeit und Transparenz</t>
  </si>
  <si>
    <t>• Effizienz durch Automatisierung und adaptive Prozesse
• hohe Flexibilität zur Anpassung an neue Anforderungen
• strategischer Vorteil durch innovative Content-Produktion und -Bereitstellung
• Redaktion wird zum Innovationstreiber innerhalb der Organisation
--&gt; Intelligenz und Adaptivität sichern strategische Vorteile</t>
  </si>
  <si>
    <t>• bessere Zusammenarbeit durch gemeinsame Werkzeuge
• reduzierte Doppelarbeit
• verbesserte Transparenz in einzelnen Abläufen</t>
  </si>
  <si>
    <t>• höhere Effizienz und Verlässlichkeit
• klare Verantwortlichkeiten und Supportstrukturen
• geringere IT-Kosten durch Standardisiserung
• vereinfachte Einabreitung neuer Mitarbeitender</t>
  </si>
  <si>
    <t>• Flexibilität bei neuen Anfordeurngen und Geschäftsmodellen
• proaktive Optimierung durch datenbasierte Steuerung
• Wettbewerbsvorteil durch innovative IT-gestützte Services
• strategische Unterstützung der gesamten Unternehmensentwicklung</t>
  </si>
  <si>
    <t>• Effizienzsteigerung durch durchgängige Datenflüsse
• weniger Fehler durch automatisierte Schnittstellen
• bessere Entscheidungsgrundlage durch konsistente Daten
• vereinfachte Zusammenarbeit zwischen Abteilungen</t>
  </si>
  <si>
    <t>• erste Zusatzfunktionen für Kunden
• beginnende Differenzierung im Markt</t>
  </si>
  <si>
    <t>• gesteigerte Produktqualität und Funktionaliät
• reduzierte Service- und Wartungskosten
• bessere Datenbasis für interne Prozesse</t>
  </si>
  <si>
    <t>• neue Geschäftsmodelle
• Echtzeit-Monitoring und proaktive Wartung
• enge Kudnenbindung durch digitale Services</t>
  </si>
  <si>
    <t>• strategischer Wettbewerbsvorteil durch datnbasierte Innovationen
• Kundenorientierung durch kontextsensitive Services
• neue Wertschöpfungsketten und Plattformmodelle
• hohe Zukunftsfähigkeit durch kontinuierliche Weiterentwicklung</t>
  </si>
  <si>
    <t>• Verbesserung von Qualität und Produktivität an einzelnen Stellen</t>
  </si>
  <si>
    <t>• höhere Prozessstabilität und Qualitätssicherung
• verbesserte Palnung und Steuerung der Produktion
• reduzierte Stillstandszeiten durch strukturierte Abläufe
• geringere Betriebskosten durch Standardisierung</t>
  </si>
  <si>
    <t xml:space="preserve">• Echtzeit-Transparenz über Produktionsdaten
• bessere Ressourcennutzung und Planungsgenauigkeit
• enge Verzahnung zwischen Entwicklung, Planung und Produktion
</t>
  </si>
  <si>
    <t xml:space="preserve">• Effizienz durch vorausschauende Steuerung
• hohe Flexibilität zur Anpassung an Markt- und Kundenanforderungen
• strategischer Wettbewerbsvorteil durch Smart Factory-Fähigkeit
• kontinuierliche Innovation durch datengetriebene Optimierung 
</t>
  </si>
  <si>
    <t>Einarbeitung Feedback aus der Evaluation</t>
  </si>
  <si>
    <r>
      <t xml:space="preserve">Das Reifegradmodell basiert auf Ergebnissen einer Recherche zu bestehenden Reifegradmodellen sowie der Auswertung von Interviews. Das RGM besteht aus 33 Subdimmensionen, aufgeteilt auf 8 Dimensionen und ist </t>
    </r>
    <r>
      <rPr>
        <b/>
        <sz val="11"/>
        <color theme="1"/>
        <rFont val="Arial"/>
        <family val="2"/>
      </rPr>
      <t>modellhaft</t>
    </r>
    <r>
      <rPr>
        <sz val="11"/>
        <color theme="1"/>
        <rFont val="Arial"/>
        <family val="2"/>
      </rPr>
      <t xml:space="preserve"> zu verstehen. Dies bedeutet, dass die Aspekte der Dimensionen je nach Organisation unterschiedlich interpretiert werden können. Die Nutzenden sind herzlich dazu eingeladen, eigene, unternehmensspezifische Punkte zu ergänzen.</t>
    </r>
  </si>
  <si>
    <t>API (Application Programmable Interface)</t>
  </si>
  <si>
    <r>
      <t>Zur Identifikation der Reifegrade werden spezifische Fragestellungen je Reifegrad gestellt.</t>
    </r>
    <r>
      <rPr>
        <sz val="11"/>
        <color theme="8"/>
        <rFont val="Arial"/>
        <family val="2"/>
      </rPr>
      <t xml:space="preserve"> </t>
    </r>
    <r>
      <rPr>
        <b/>
        <sz val="11"/>
        <color rgb="FFFF0000"/>
        <rFont val="Arial"/>
        <family val="2"/>
      </rPr>
      <t>[1]</t>
    </r>
    <r>
      <rPr>
        <sz val="11"/>
        <color theme="1"/>
        <rFont val="Arial"/>
        <family val="2"/>
      </rPr>
      <t xml:space="preserve"> Diese Fragen sind mit den vordefinierten Antwortmöglichkeiten zu beantworten.</t>
    </r>
    <r>
      <rPr>
        <sz val="11"/>
        <color rgb="FFFF0000"/>
        <rFont val="Arial"/>
        <family val="2"/>
      </rPr>
      <t xml:space="preserve"> </t>
    </r>
    <r>
      <rPr>
        <b/>
        <sz val="11"/>
        <color rgb="FFFF0000"/>
        <rFont val="Arial"/>
        <family val="2"/>
      </rPr>
      <t>[2]</t>
    </r>
    <r>
      <rPr>
        <sz val="11"/>
        <rFont val="Arial"/>
        <family val="2"/>
      </rPr>
      <t xml:space="preserve"> Für jede Stufe wird der konkrete Nutzen für die Organisation dargestellt. </t>
    </r>
    <r>
      <rPr>
        <b/>
        <sz val="11"/>
        <color rgb="FFFF0000"/>
        <rFont val="Arial"/>
        <family val="2"/>
      </rPr>
      <t>[3]</t>
    </r>
    <r>
      <rPr>
        <sz val="11"/>
        <rFont val="Arial"/>
        <family val="2"/>
      </rPr>
      <t xml:space="preserve"> Zusätzlich besteht die Möglichkeit, einen Kommentar im Freitextfeld zu hinterlassen. </t>
    </r>
    <r>
      <rPr>
        <b/>
        <sz val="11"/>
        <color rgb="FFFF0000"/>
        <rFont val="Arial"/>
        <family val="2"/>
      </rPr>
      <t>[4]</t>
    </r>
  </si>
  <si>
    <r>
      <rPr>
        <b/>
        <sz val="11"/>
        <color rgb="FFFF0000"/>
        <rFont val="Arial"/>
        <family val="2"/>
      </rPr>
      <t>[5]</t>
    </r>
    <r>
      <rPr>
        <sz val="11"/>
        <color theme="1"/>
        <rFont val="Arial"/>
        <family val="2"/>
      </rPr>
      <t xml:space="preserve"> Durch Klicken des </t>
    </r>
    <r>
      <rPr>
        <b/>
        <sz val="11"/>
        <rFont val="Arial"/>
        <family val="2"/>
      </rPr>
      <t>[+]</t>
    </r>
    <r>
      <rPr>
        <b/>
        <sz val="11"/>
        <color rgb="FFFF0000"/>
        <rFont val="Arial"/>
        <family val="2"/>
      </rPr>
      <t xml:space="preserve"> </t>
    </r>
    <r>
      <rPr>
        <sz val="11"/>
        <rFont val="Arial"/>
        <family val="2"/>
      </rPr>
      <t>Symbols können Sie sich zusätzliche Informationen zu den Prüffragen anzeigen lassen.</t>
    </r>
  </si>
  <si>
    <r>
      <rPr>
        <b/>
        <sz val="11"/>
        <color rgb="FFFF0000"/>
        <rFont val="Arial"/>
        <family val="2"/>
      </rPr>
      <t>[6]</t>
    </r>
    <r>
      <rPr>
        <sz val="11"/>
        <color rgb="FFFF0000"/>
        <rFont val="Arial"/>
        <family val="2"/>
      </rPr>
      <t xml:space="preserve"> </t>
    </r>
    <r>
      <rPr>
        <sz val="11"/>
        <color theme="1"/>
        <rFont val="Arial"/>
        <family val="2"/>
      </rPr>
      <t xml:space="preserve">Durch Klicken des </t>
    </r>
    <r>
      <rPr>
        <b/>
        <sz val="11"/>
        <color theme="1"/>
        <rFont val="Arial"/>
        <family val="2"/>
      </rPr>
      <t>[+]</t>
    </r>
    <r>
      <rPr>
        <sz val="11"/>
        <color theme="1"/>
        <rFont val="Arial"/>
        <family val="2"/>
      </rPr>
      <t xml:space="preserve"> Symbols können Sie sich den jeweiligen schematischen Prozess-Steckbrief anzeigen lassen.</t>
    </r>
  </si>
  <si>
    <t>Gibt es einen etablierten Prozess zur automatisierten Rückkopplung von Zielgruppenwissen in den Redaktionsprozess?</t>
  </si>
  <si>
    <t>Credit:</t>
  </si>
  <si>
    <t>Victor Wolf</t>
  </si>
  <si>
    <t>1.1</t>
  </si>
  <si>
    <t>Einarbeitung Feedback aus der Feedbackrunde vom 27.10.25</t>
  </si>
  <si>
    <r>
      <t xml:space="preserve">Der Reifegrad für jeden Prozess wird auf der Grundlage der gegebenen Antwort berechnet und in der Bewertungs-Zelle angezeigt. </t>
    </r>
    <r>
      <rPr>
        <b/>
        <sz val="11"/>
        <color rgb="FFFF0000"/>
        <rFont val="Arial"/>
        <family val="2"/>
      </rPr>
      <t>[7]</t>
    </r>
    <r>
      <rPr>
        <sz val="11"/>
        <color theme="1"/>
        <rFont val="Arial"/>
        <family val="2"/>
      </rPr>
      <t xml:space="preserve"> Die Reifegrad-Skala ist kumulativ. Die Reifegradbewertung beginnt für jeden Prozess bei 0 und arbeitet aufwärts. Jede Reifegradstufe baut auf den vorherigen Stufen auf. Damit die nächsthöhere Reifegradstufe erreicht werden kann, wird die </t>
    </r>
    <r>
      <rPr>
        <b/>
        <sz val="11"/>
        <color theme="1"/>
        <rFont val="Arial"/>
        <family val="2"/>
      </rPr>
      <t>vollständige Umsetzung der vorherigen Stufen</t>
    </r>
    <r>
      <rPr>
        <sz val="11"/>
        <color theme="1"/>
        <rFont val="Arial"/>
        <family val="2"/>
      </rPr>
      <t xml:space="preserve"> benötigt. Das bedeutet auch, dass die Umsetzung teilweise kontra-intuitiv ausgewählt werden muss.
Die Festlegung der Reifegradstufen erfolgt anhand von </t>
    </r>
    <r>
      <rPr>
        <b/>
        <sz val="11"/>
        <color theme="1"/>
        <rFont val="Arial"/>
        <family val="2"/>
      </rPr>
      <t>Abnahmekriterien</t>
    </r>
    <r>
      <rPr>
        <sz val="11"/>
        <color theme="1"/>
        <rFont val="Arial"/>
        <family val="2"/>
      </rPr>
      <t>. Diese sind jeder Reifegradstufe zugeordnet und beschreiben die benötigten Fähigkeiten je Reifegradstufe. Die Abnahmekriterien können unter</t>
    </r>
    <r>
      <rPr>
        <b/>
        <sz val="11"/>
        <color rgb="FF00B0F0"/>
        <rFont val="Arial"/>
        <family val="2"/>
      </rPr>
      <t xml:space="preserve"> </t>
    </r>
    <r>
      <rPr>
        <b/>
        <sz val="11"/>
        <color rgb="FFFF0000"/>
        <rFont val="Arial"/>
        <family val="2"/>
      </rPr>
      <t>[5]</t>
    </r>
    <r>
      <rPr>
        <sz val="11"/>
        <color theme="1"/>
        <rFont val="Arial"/>
        <family val="2"/>
      </rPr>
      <t xml:space="preserve"> angezeigt werden.</t>
    </r>
  </si>
  <si>
    <t>Findet ein Austausch von Erfahrungs- und Handlungswissen innerhalb der Organisation statt (z. B. mündlich, ad hoc)?</t>
  </si>
  <si>
    <t>Bestehen im Unternehmen Speicherorte, an denen Wissen abgelegt und zugänglich gemacht wird (z.B. lokale Dateien, E-Mails)?</t>
  </si>
  <si>
    <t>Existiert relevantes Erfahrungs- und Handlungswissen in der Organisation?</t>
  </si>
  <si>
    <t>Bereich:</t>
  </si>
  <si>
    <t>Bereich A</t>
  </si>
  <si>
    <r>
      <t>Das Prüfkriterium ist nicht auf die Organisation anwe</t>
    </r>
    <r>
      <rPr>
        <sz val="11"/>
        <rFont val="Arial"/>
        <family val="2"/>
      </rPr>
      <t>nd</t>
    </r>
    <r>
      <rPr>
        <sz val="11"/>
        <color theme="1"/>
        <rFont val="Arial"/>
        <family val="2"/>
      </rPr>
      <t>bar. Sollten alle Fragen einer Stufe nicht anwendbar sein, verbleibt der Reifegradauf der darunter liegenden Stufe bzw. als #NV.</t>
    </r>
  </si>
  <si>
    <t>• mehr Sicherheit gegenüber offenem Zugang
• erste Reduzierung von Missbrauchs- und Fehlerpotenzial</t>
  </si>
  <si>
    <t>• maximale Nutzerfreundlichkeit durch personalisierte Unterstützung
• strategischer Vorteil durch kontinuierliche Verbesserung von Prozessen
• Förderung von Innvoationen und organisationalem Lernen
• Wissen wird aktiv als Wettbewerbsvorteil genutzt</t>
  </si>
  <si>
    <t>Einarbeitung Feedback aus dem Treffen der Arbeitsgruppe am 26.11.25</t>
  </si>
  <si>
    <t>2.0</t>
  </si>
  <si>
    <t>• Keine Verzögerung (durch die Redaktion) der Markteinführung
• Verbesserte Zusammenarbeit zwischen Redaktion und Entwicklung
• Transparenter Informationsfluss reduziert Medienbrüche und Fehler
--&gt; Zeit- und Qualitätsvorteile</t>
  </si>
  <si>
    <t>Ist sichergestellt, dass die Mitarbeitenden wissen – basierend auf ihrer Erfahrung oder etablierten Kenntnissen –, wann sie im Entwicklungsprozess mit dem Redaktionsprozess beginnen müssen?</t>
  </si>
  <si>
    <t>Wurde der Redaktionsprozess in Arbeitspakete zerlegt und sind diese an einzelne Entwicklungsaufgaben gekoppelt?</t>
  </si>
  <si>
    <r>
      <t xml:space="preserve">Kann die externe Kommunikation </t>
    </r>
    <r>
      <rPr>
        <b/>
        <sz val="10"/>
        <color theme="1"/>
        <rFont val="Arial"/>
        <family val="2"/>
      </rPr>
      <t>situativ</t>
    </r>
    <r>
      <rPr>
        <sz val="10"/>
        <color theme="1"/>
        <rFont val="Arial"/>
        <family val="2"/>
      </rPr>
      <t xml:space="preserve"> über Dritte (z. B. Projektleitung) erfolgen, wenn dies erforderlich ist?</t>
    </r>
  </si>
  <si>
    <t>Ist die Zusammenarbeit der Redaktion mit externen Partnern vertraglich geregelt?</t>
  </si>
  <si>
    <t>Werden in der externen Zusammenarbeit der Redaktion gemeinsame Tools verwendet?</t>
  </si>
  <si>
    <r>
      <t xml:space="preserve">Kann die Recherche zu den rechtlichen Anforderungen projekt- bzw. </t>
    </r>
    <r>
      <rPr>
        <b/>
        <sz val="10"/>
        <color theme="1"/>
        <rFont val="Arial"/>
        <family val="2"/>
      </rPr>
      <t xml:space="preserve">anlassbezogen </t>
    </r>
    <r>
      <rPr>
        <sz val="10"/>
        <color theme="1"/>
        <rFont val="Arial"/>
        <family val="2"/>
      </rPr>
      <t>erfolgen, wenn dies erforderlich ist?</t>
    </r>
  </si>
  <si>
    <r>
      <t xml:space="preserve">Wird </t>
    </r>
    <r>
      <rPr>
        <b/>
        <sz val="10"/>
        <color theme="1"/>
        <rFont val="Arial"/>
        <family val="2"/>
      </rPr>
      <t>gelegentlich</t>
    </r>
    <r>
      <rPr>
        <sz val="10"/>
        <color theme="1"/>
        <rFont val="Arial"/>
        <family val="2"/>
      </rPr>
      <t xml:space="preserve"> die Aktualität der Richtlinien und Normen überprüft?</t>
    </r>
  </si>
  <si>
    <t>• vereinfachtes Management großer Informationsmengen</t>
  </si>
  <si>
    <t>WICHTIG!</t>
  </si>
  <si>
    <t>Bitte beachten Sie:</t>
  </si>
  <si>
    <t>Die Fragen des Reifegradmodells sind so formuliert, dass jede Reifegradstufe auf den vorhergehenden Stufen aufbaut. Das bedeutet: Wenn Ihre Organisation eine höhere Stufe bereits erreicht hat und der beschriebene Zustand einer niedrigeren Stufe dadurch überwunden wurde (z. B. Varianten werden nicht mehr manuell gepflegt), ist die Frage dennoch mit „Vollständig“ zu beantworten. „Vollständig“ bedeutet in diesem Zusammenhang: Der beschriebene Zustand dieser Stufe wurde vollständig erreicht oder übertroffen. Antworten wie „Gar nicht“, „In ein paar Fällen“ oder „In den meisten Fällen“ würden fälschlicherweise anzeigen, dass diese Stufe noch nicht erfüllt ist.</t>
  </si>
  <si>
    <r>
      <t xml:space="preserve">Werden Varianten mindestens manuell </t>
    </r>
    <r>
      <rPr>
        <b/>
        <sz val="10"/>
        <color theme="1"/>
        <rFont val="Arial"/>
        <family val="2"/>
      </rPr>
      <t>Ad-Hoc</t>
    </r>
    <r>
      <rPr>
        <sz val="10"/>
        <color theme="1"/>
        <rFont val="Arial"/>
        <family val="2"/>
      </rPr>
      <t xml:space="preserve"> gepflegt, etwa durch das Kopieren und Anpassen kompletter Dokumente?</t>
    </r>
  </si>
  <si>
    <t>Können Dokumente mindestens über die Ordnerstruktur und Dateibenennung identifiziert werden?</t>
  </si>
  <si>
    <r>
      <t xml:space="preserve">Werden manuell </t>
    </r>
    <r>
      <rPr>
        <b/>
        <sz val="10"/>
        <color theme="1"/>
        <rFont val="Arial"/>
        <family val="2"/>
      </rPr>
      <t>gelegentlich</t>
    </r>
    <r>
      <rPr>
        <sz val="10"/>
        <color theme="1"/>
        <rFont val="Arial"/>
        <family val="2"/>
      </rPr>
      <t xml:space="preserve"> Metadaten auf Dokumenteneben vergeben?</t>
    </r>
  </si>
  <si>
    <t>Nutzen Mitarbeitende mindestens ihre individuelle Terminologie projektbezogen konsistent?</t>
  </si>
  <si>
    <t>Terminologiemapping</t>
  </si>
  <si>
    <r>
      <t xml:space="preserve">Wird ein </t>
    </r>
    <r>
      <rPr>
        <u/>
        <sz val="10"/>
        <color theme="9"/>
        <rFont val="Arial"/>
        <family val="2"/>
      </rPr>
      <t>Terminologiemapping</t>
    </r>
    <r>
      <rPr>
        <sz val="10"/>
        <color theme="1"/>
        <rFont val="Arial"/>
        <family val="2"/>
      </rPr>
      <t xml:space="preserve"> zu Zulieferdokumentation durchgeführt?</t>
    </r>
  </si>
  <si>
    <t>Zuordnung von Begriffen aus unterschiedlichen Terminologien, um deren Bedeutungen abzugleichen oder zu harmonisieren.</t>
  </si>
  <si>
    <r>
      <t xml:space="preserve">Wird bei Bedarf zumindest </t>
    </r>
    <r>
      <rPr>
        <b/>
        <sz val="10"/>
        <color theme="1"/>
        <rFont val="Arial"/>
        <family val="2"/>
      </rPr>
      <t>Ad-Hoc</t>
    </r>
    <r>
      <rPr>
        <sz val="10"/>
        <color theme="1"/>
        <rFont val="Arial"/>
        <family val="2"/>
      </rPr>
      <t xml:space="preserve"> nach individuellen Maßstäben übersetzt?</t>
    </r>
  </si>
  <si>
    <r>
      <t xml:space="preserve">Werden </t>
    </r>
    <r>
      <rPr>
        <b/>
        <sz val="10"/>
        <color theme="1"/>
        <rFont val="Arial"/>
        <family val="2"/>
      </rPr>
      <t>gelegentlich</t>
    </r>
    <r>
      <rPr>
        <sz val="10"/>
        <color theme="1"/>
        <rFont val="Arial"/>
        <family val="2"/>
      </rPr>
      <t xml:space="preserve"> zumindest informelle Hilfsmittel wie Glossare oder Übersetzungslisten verwendet?</t>
    </r>
  </si>
  <si>
    <t>Erfolgen Aktualisierungen zumindest reaktiv und unsystematisch nach individuellem Ermessen, z. B. nach Kundenrückmeldungen oder Problemen?</t>
  </si>
  <si>
    <t>Haben die Mitarbeiter, die mit der Technischen Dokumentation vertraut sind, zumindest einen individuellen Überblick über die aktuelle Version der Dokumentation, mit der sie arbeiten?</t>
  </si>
  <si>
    <t>Werden Dokumente zu Archivierungszwecken zumindest lokal abgelegt?</t>
  </si>
  <si>
    <t>Wird die Dokumentation mindestens einmalig manuell nach dessen Fertigstellung publiziert?</t>
  </si>
  <si>
    <t>Ist die Etablierung eines Zugriffsmanagements zumindest geplant?</t>
  </si>
  <si>
    <r>
      <t xml:space="preserve">Sind mindestens erste Nutzergruppen oder Dateiberechtigungen definiert? Wird darüber das Zugriffsmanagement darüber </t>
    </r>
    <r>
      <rPr>
        <b/>
        <sz val="10"/>
        <color theme="1"/>
        <rFont val="Arial"/>
        <family val="2"/>
      </rPr>
      <t>gelegentlich</t>
    </r>
    <r>
      <rPr>
        <sz val="10"/>
        <color theme="1"/>
        <rFont val="Arial"/>
        <family val="2"/>
      </rPr>
      <t xml:space="preserve"> gesteuert? </t>
    </r>
  </si>
  <si>
    <t>Werden Zugriffe zumindest fallweise geregelt, z. B. durch individuelle Freigaben oder einfache Passwortschutzmechanismen?</t>
  </si>
  <si>
    <t>Werden Systeme zur Verwaltung von Berechtigungen aktiv genutzt?</t>
  </si>
  <si>
    <r>
      <t xml:space="preserve">Werden zumindest </t>
    </r>
    <r>
      <rPr>
        <b/>
        <sz val="10"/>
        <color theme="1"/>
        <rFont val="Arial"/>
        <family val="2"/>
      </rPr>
      <t>Ad-Hoc</t>
    </r>
    <r>
      <rPr>
        <sz val="10"/>
        <color theme="1"/>
        <rFont val="Arial"/>
        <family val="2"/>
      </rPr>
      <t xml:space="preserve"> Kanäle für die Veröffentlichung ausgewählt?</t>
    </r>
  </si>
  <si>
    <r>
      <t xml:space="preserve">Bestehen </t>
    </r>
    <r>
      <rPr>
        <b/>
        <sz val="10"/>
        <color theme="1"/>
        <rFont val="Arial"/>
        <family val="2"/>
      </rPr>
      <t>gelegentlich</t>
    </r>
    <r>
      <rPr>
        <sz val="10"/>
        <color theme="1"/>
        <rFont val="Arial"/>
        <family val="2"/>
      </rPr>
      <t xml:space="preserve"> Absprachen über zu verwendende Kanäle zur Publikation?</t>
    </r>
  </si>
  <si>
    <t>Werden Inhalte in mehreren Kanälen bereitgestellt (z. B. Print, PDF, Website), wobei die Pflege in den unterschiedlichen Kanälen noch unabhängig voneinander erfolgt?</t>
  </si>
  <si>
    <t>Basieren die Inhalte mindestens auf Annahmen und individuellem Erfahrungswissen der einzelnen Mitarbeiter bezüglich der Zielgruppe der Dokumentation?</t>
  </si>
  <si>
    <r>
      <t xml:space="preserve">Fließen </t>
    </r>
    <r>
      <rPr>
        <b/>
        <sz val="10"/>
        <color theme="1"/>
        <rFont val="Arial"/>
        <family val="2"/>
      </rPr>
      <t>gelegentlich</t>
    </r>
    <r>
      <rPr>
        <sz val="10"/>
        <color theme="1"/>
        <rFont val="Arial"/>
        <family val="2"/>
      </rPr>
      <t xml:space="preserve"> Hinweise oder Erfahrungen der Nutzer:innen in die Dokumentation ein?</t>
    </r>
  </si>
  <si>
    <t>Wird die Verständlichkeit und Nutzbarkeit der Dokumentation mindestens durch die individuelle Erfahrungen und Vorgehensweisen der erstellenden Personen beeinflusst?</t>
  </si>
  <si>
    <r>
      <t xml:space="preserve">Erreicht das Feedback die Redaktion zumindest </t>
    </r>
    <r>
      <rPr>
        <b/>
        <sz val="10"/>
        <color theme="1"/>
        <rFont val="Arial"/>
        <family val="2"/>
      </rPr>
      <t>vereinzelt</t>
    </r>
    <r>
      <rPr>
        <sz val="10"/>
        <color theme="1"/>
        <rFont val="Arial"/>
        <family val="2"/>
      </rPr>
      <t xml:space="preserve"> über Dritte (z.B. Projektleiter der Entwicklung)?</t>
    </r>
  </si>
  <si>
    <t>Wird Feedback mindestens nach individuellen Ermessen adressiert?</t>
  </si>
  <si>
    <t>Wird die Dokumentation mindestens für gesetzlich oder normativ geforderte Zwecke (z.B. Unterweisung) eingesetzt und bietet ansonsten noch keinen Mehrwert?</t>
  </si>
  <si>
    <t>• Entlastung der Fachabteilungen
• erste Spezialisierung und Kompetenzaufbau</t>
  </si>
  <si>
    <t>Wird zumindest die Relevanz der Dokumentation zur Erfüllung rechtlicher oder normativer Anforderungen in der Organisation erkannt?</t>
  </si>
  <si>
    <t>Herrscht zumindest bei den Mitarbeitenden, die mit der Dokumentation arbeiten, ein Bewusstsein für die Bedeutung der Dokumentation?</t>
  </si>
  <si>
    <r>
      <t xml:space="preserve">Wird </t>
    </r>
    <r>
      <rPr>
        <b/>
        <sz val="10"/>
        <color theme="1"/>
        <rFont val="Arial"/>
        <family val="2"/>
      </rPr>
      <t>vereinzelt</t>
    </r>
    <r>
      <rPr>
        <sz val="10"/>
        <color theme="1"/>
        <rFont val="Arial"/>
        <family val="2"/>
      </rPr>
      <t xml:space="preserve"> die Meinung vertreten, dass die langfristige Prozessverbesserung wichtiger ist als die  kurzfristige Projektbudgeteinhaltung?</t>
    </r>
  </si>
  <si>
    <r>
      <t xml:space="preserve">Werden zumindest Tools genutzt, die </t>
    </r>
    <r>
      <rPr>
        <b/>
        <sz val="10"/>
        <color theme="1"/>
        <rFont val="Arial"/>
        <family val="2"/>
      </rPr>
      <t xml:space="preserve">Ad-Hoc </t>
    </r>
    <r>
      <rPr>
        <sz val="10"/>
        <color theme="1"/>
        <rFont val="Arial"/>
        <family val="2"/>
      </rPr>
      <t>am nützlichsten und zugänglichsten sind (z.B. Word)?</t>
    </r>
  </si>
  <si>
    <t>Werden diese Werkzeuge gelegentlich eingesetzt und erste Integrationen zwischen ihnen vorgenommen?</t>
  </si>
  <si>
    <t>Stehen zumindest grundlegende IT-Mittel (PCs, E-Mail, Office) ohne zentrale Koordination zur Verfügung?</t>
  </si>
  <si>
    <t>Wird die Infrastruktur aktiv gepflegt und optimiert?</t>
  </si>
  <si>
    <t>Bestehen Produkte zumindest aus mechanischen oder analogen Komponenten ohne digitale Funktionen?</t>
  </si>
  <si>
    <t>Verfügen Produkte teilweise über einzelne digitale Komponenten (z. B. Displays, einfache Sensoren)?</t>
  </si>
  <si>
    <r>
      <rPr>
        <sz val="11"/>
        <rFont val="Calibri"/>
        <family val="2"/>
        <scheme val="minor"/>
      </rPr>
      <t xml:space="preserve">Kontaktdaten für Feedback und Fragen: </t>
    </r>
    <r>
      <rPr>
        <u/>
        <sz val="11"/>
        <color theme="10"/>
        <rFont val="Calibri"/>
        <family val="2"/>
        <scheme val="minor"/>
      </rPr>
      <t>christian4.koch@tu-dortmund.de</t>
    </r>
  </si>
  <si>
    <r>
      <t xml:space="preserve">Wird durch eine Zusammenarbeit doppelte Arbeit durch mehrere Personen innerhalb der Redaktion </t>
    </r>
    <r>
      <rPr>
        <b/>
        <sz val="10"/>
        <color theme="1"/>
        <rFont val="Arial"/>
        <family val="2"/>
      </rPr>
      <t>gelegentlich</t>
    </r>
    <r>
      <rPr>
        <sz val="10"/>
        <color theme="1"/>
        <rFont val="Arial"/>
        <family val="2"/>
      </rPr>
      <t xml:space="preserve"> vermieden?</t>
    </r>
  </si>
  <si>
    <r>
      <t xml:space="preserve">Werden zumindest </t>
    </r>
    <r>
      <rPr>
        <b/>
        <sz val="10"/>
        <color theme="1"/>
        <rFont val="Arial"/>
        <family val="2"/>
      </rPr>
      <t>situativ</t>
    </r>
    <r>
      <rPr>
        <sz val="10"/>
        <color theme="1"/>
        <rFont val="Arial"/>
        <family val="2"/>
      </rPr>
      <t xml:space="preserve"> im Fall eines Defizits / Schadensfall qualitätssichernde Maßnahmen durchgeführt?</t>
    </r>
  </si>
  <si>
    <r>
      <t xml:space="preserve">Wird die Dokumentation von den Mitarbeitenden mindestens </t>
    </r>
    <r>
      <rPr>
        <b/>
        <sz val="10"/>
        <color theme="1"/>
        <rFont val="Arial"/>
        <family val="2"/>
      </rPr>
      <t>situativ</t>
    </r>
    <r>
      <rPr>
        <sz val="10"/>
        <color theme="1"/>
        <rFont val="Arial"/>
        <family val="2"/>
      </rPr>
      <t xml:space="preserve"> strukturiert, sodass sie unabhängig von festen Vorgaben dennoch konsistent auf Seiten‑ bzw. Kapitelebene aufgebaut ist?</t>
    </r>
  </si>
  <si>
    <t>Wird das Anlegen neuer Varianten und Arbeiten mit Varianten dokumentiert? Wird dadurch redundante Arbeit reduziert?</t>
  </si>
  <si>
    <r>
      <t xml:space="preserve">Wird das Variantenmanagement </t>
    </r>
    <r>
      <rPr>
        <b/>
        <sz val="10"/>
        <color theme="1"/>
        <rFont val="Arial"/>
        <family val="2"/>
      </rPr>
      <t>kontinuierlich</t>
    </r>
    <r>
      <rPr>
        <sz val="10"/>
        <color theme="1"/>
        <rFont val="Arial"/>
        <family val="2"/>
      </rPr>
      <t xml:space="preserve"> anhand von Feedback und Best Practices </t>
    </r>
    <r>
      <rPr>
        <b/>
        <sz val="10"/>
        <color theme="1"/>
        <rFont val="Arial"/>
        <family val="2"/>
      </rPr>
      <t>optimiert</t>
    </r>
    <r>
      <rPr>
        <sz val="10"/>
        <color theme="1"/>
        <rFont val="Arial"/>
        <family val="2"/>
      </rPr>
      <t>?</t>
    </r>
  </si>
  <si>
    <r>
      <t xml:space="preserve">Wird die Vergabe und Nutzung von Metadaten </t>
    </r>
    <r>
      <rPr>
        <b/>
        <sz val="10"/>
        <color theme="1"/>
        <rFont val="Arial"/>
        <family val="2"/>
      </rPr>
      <t>regelmäßig überwacht</t>
    </r>
    <r>
      <rPr>
        <sz val="10"/>
        <color theme="1"/>
        <rFont val="Arial"/>
        <family val="2"/>
      </rPr>
      <t xml:space="preserve"> und bewertet?</t>
    </r>
  </si>
  <si>
    <r>
      <t xml:space="preserve">Wird das Metadatenmodell </t>
    </r>
    <r>
      <rPr>
        <b/>
        <sz val="10"/>
        <rFont val="Arial"/>
        <family val="2"/>
      </rPr>
      <t>regelmäßig weiterentwickelt</t>
    </r>
    <r>
      <rPr>
        <sz val="10"/>
        <rFont val="Arial"/>
        <family val="2"/>
      </rPr>
      <t xml:space="preserve"> (z. B. neue Kategorien, semantische Modelle, </t>
    </r>
    <r>
      <rPr>
        <u/>
        <sz val="10"/>
        <color theme="9"/>
        <rFont val="Arial"/>
        <family val="2"/>
      </rPr>
      <t>Ontologien</t>
    </r>
    <r>
      <rPr>
        <sz val="10"/>
        <rFont val="Arial"/>
        <family val="2"/>
      </rPr>
      <t>)?</t>
    </r>
  </si>
  <si>
    <r>
      <t xml:space="preserve">Wird die Aktualität der Dokumentation </t>
    </r>
    <r>
      <rPr>
        <b/>
        <sz val="10"/>
        <color theme="1"/>
        <rFont val="Arial"/>
        <family val="2"/>
      </rPr>
      <t>regelmäßig überprüft</t>
    </r>
    <r>
      <rPr>
        <sz val="10"/>
        <color theme="1"/>
        <rFont val="Arial"/>
        <family val="2"/>
      </rPr>
      <t xml:space="preserve"> und überwacht (z. B. Audits, Reviews, KPIs)?</t>
    </r>
  </si>
  <si>
    <t>• reduzierte Gefahr von Verlust oder Überschneidungen
• reduzierte Gefahr der Arbeit mit veralteten Versionen</t>
  </si>
  <si>
    <r>
      <t xml:space="preserve">Wird die Versionierung und die Nachverfolgbarkeit von Änderungen </t>
    </r>
    <r>
      <rPr>
        <b/>
        <sz val="10"/>
        <color theme="1"/>
        <rFont val="Arial"/>
        <family val="2"/>
      </rPr>
      <t>kontinuierlich verbessert</t>
    </r>
    <r>
      <rPr>
        <sz val="10"/>
        <color theme="1"/>
        <rFont val="Arial"/>
        <family val="2"/>
      </rPr>
      <t>?</t>
    </r>
  </si>
  <si>
    <t>Ist zumindest erkannt, dass eine Darstellung aus Hersteller- oder Entwicklerperspektive keine nutzerzentrierte Informationsvermittlung darstellt?</t>
  </si>
  <si>
    <t>Ist zumindest erkannt, dass eine produktorientierte Darstellung nicht automatisch die für den Nutzungskontext relevanten Informationen bereitstellt?</t>
  </si>
  <si>
    <t>Ist zumindest der Einsatz von einfachen IT-Lösungen für die Steuerung der Produktion geplant? (z. B. einfache Excel-Tabellen zur manuellen Betriebsdatenerfassung)</t>
  </si>
  <si>
    <t>Gelangen alle erforderliche Informationen im Push-Prinzip zur Redaktion?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</si>
</sst>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1"/>
      <color theme="1"/>
      <name val="Arial"/>
      <family val="2"/>
    </font>
    <font>
      <b/>
      <sz val="11"/>
      <color theme="1"/>
      <name val="Arial"/>
      <family val="2"/>
    </font>
    <font>
      <b/>
      <sz val="20"/>
      <color theme="1"/>
      <name val="Arial"/>
      <family val="2"/>
    </font>
    <font>
      <b/>
      <sz val="14"/>
      <color theme="1"/>
      <name val="Arial"/>
      <family val="2"/>
    </font>
    <font>
      <b/>
      <sz val="12"/>
      <color theme="1"/>
      <name val="Arial"/>
      <family val="2"/>
    </font>
    <font>
      <u/>
      <sz val="11"/>
      <color theme="10"/>
      <name val="Calibri"/>
      <family val="2"/>
      <scheme val="minor"/>
    </font>
    <font>
      <sz val="11"/>
      <color rgb="FFFF0000"/>
      <name val="Arial"/>
      <family val="2"/>
    </font>
    <font>
      <sz val="11"/>
      <name val="Arial"/>
      <family val="2"/>
    </font>
    <font>
      <b/>
      <sz val="11"/>
      <color rgb="FF333399"/>
      <name val="Arial"/>
      <family val="2"/>
    </font>
    <font>
      <b/>
      <sz val="11"/>
      <color theme="9"/>
      <name val="Arial"/>
      <family val="2"/>
    </font>
    <font>
      <b/>
      <sz val="11"/>
      <color theme="5"/>
      <name val="Arial"/>
      <family val="2"/>
    </font>
    <font>
      <sz val="11"/>
      <color theme="5"/>
      <name val="Arial"/>
      <family val="2"/>
    </font>
    <font>
      <sz val="10"/>
      <color theme="1"/>
      <name val="Arial"/>
      <family val="2"/>
    </font>
    <font>
      <b/>
      <sz val="10"/>
      <color theme="1"/>
      <name val="Arial"/>
      <family val="2"/>
    </font>
    <font>
      <i/>
      <sz val="10"/>
      <color theme="1"/>
      <name val="Arial"/>
      <family val="2"/>
    </font>
    <font>
      <b/>
      <sz val="11"/>
      <color rgb="FF00B0F0"/>
      <name val="Arial"/>
      <family val="2"/>
    </font>
    <font>
      <b/>
      <sz val="11"/>
      <color theme="0"/>
      <name val="Arial"/>
      <family val="2"/>
    </font>
    <font>
      <b/>
      <sz val="12"/>
      <color theme="0"/>
      <name val="Arial"/>
      <family val="2"/>
    </font>
    <font>
      <b/>
      <sz val="16"/>
      <color theme="9"/>
      <name val="Arial"/>
      <family val="2"/>
    </font>
    <font>
      <i/>
      <sz val="11"/>
      <color theme="1"/>
      <name val="Arial"/>
      <family val="2"/>
    </font>
    <font>
      <b/>
      <sz val="11"/>
      <name val="Arial"/>
      <family val="2"/>
    </font>
    <font>
      <b/>
      <sz val="11"/>
      <color theme="8"/>
      <name val="Arial"/>
      <family val="2"/>
    </font>
    <font>
      <sz val="11"/>
      <color theme="8"/>
      <name val="Arial"/>
      <family val="2"/>
    </font>
    <font>
      <b/>
      <sz val="11"/>
      <color rgb="FFFF0000"/>
      <name val="Arial"/>
      <family val="2"/>
    </font>
    <font>
      <sz val="10"/>
      <color theme="1"/>
      <name val="Symbol"/>
      <family val="1"/>
      <charset val="2"/>
    </font>
    <font>
      <b/>
      <sz val="10"/>
      <name val="Arial"/>
      <family val="2"/>
    </font>
    <font>
      <b/>
      <sz val="14"/>
      <name val="Arial"/>
      <family val="2"/>
    </font>
    <font>
      <sz val="10"/>
      <name val="Arial"/>
      <family val="2"/>
    </font>
    <font>
      <b/>
      <sz val="16"/>
      <color theme="1"/>
      <name val="Arial"/>
      <family val="2"/>
    </font>
    <font>
      <b/>
      <sz val="11"/>
      <color theme="8" tint="-0.249977111117893"/>
      <name val="Arial"/>
      <family val="2"/>
    </font>
    <font>
      <i/>
      <sz val="11"/>
      <name val="Arial"/>
      <family val="2"/>
    </font>
    <font>
      <sz val="11"/>
      <color rgb="FF9C0006"/>
      <name val="Calibri"/>
      <family val="2"/>
      <scheme val="minor"/>
    </font>
    <font>
      <sz val="8"/>
      <name val="Calibri"/>
      <family val="2"/>
      <scheme val="minor"/>
    </font>
    <font>
      <sz val="9"/>
      <name val="Arial"/>
      <family val="2"/>
    </font>
    <font>
      <u/>
      <sz val="11"/>
      <color theme="9"/>
      <name val="Arial"/>
      <family val="2"/>
    </font>
    <font>
      <u/>
      <sz val="10"/>
      <color theme="9"/>
      <name val="Arial"/>
      <family val="2"/>
    </font>
    <font>
      <sz val="11"/>
      <name val="Calibri"/>
      <family val="2"/>
      <scheme val="minor"/>
    </font>
  </fonts>
  <fills count="15">
    <fill>
      <patternFill patternType="none"/>
    </fill>
    <fill>
      <patternFill patternType="gray125"/>
    </fill>
    <fill>
      <patternFill patternType="solid">
        <fgColor theme="2"/>
        <bgColor indexed="64"/>
      </patternFill>
    </fill>
    <fill>
      <patternFill patternType="solid">
        <fgColor theme="3" tint="-0.499984740745262"/>
        <bgColor indexed="64"/>
      </patternFill>
    </fill>
    <fill>
      <patternFill patternType="solid">
        <fgColor rgb="FFF3F3F3"/>
        <bgColor indexed="64"/>
      </patternFill>
    </fill>
    <fill>
      <patternFill patternType="solid">
        <fgColor theme="0"/>
        <bgColor indexed="64"/>
      </patternFill>
    </fill>
    <fill>
      <patternFill patternType="solid">
        <fgColor theme="0" tint="-4.9989318521683403E-2"/>
        <bgColor indexed="64"/>
      </patternFill>
    </fill>
    <fill>
      <patternFill patternType="solid">
        <fgColor theme="3"/>
        <bgColor indexed="64"/>
      </patternFill>
    </fill>
    <fill>
      <patternFill patternType="solid">
        <fgColor theme="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C7CE"/>
      </patternFill>
    </fill>
    <fill>
      <patternFill patternType="solid">
        <fgColor rgb="FF333399"/>
        <bgColor indexed="64"/>
      </patternFill>
    </fill>
    <fill>
      <patternFill patternType="solid">
        <fgColor rgb="FFE5E3E3"/>
        <bgColor indexed="64"/>
      </patternFill>
    </fill>
    <fill>
      <patternFill patternType="solid">
        <fgColor rgb="FFFFFF00"/>
        <bgColor indexed="64"/>
      </patternFill>
    </fill>
  </fills>
  <borders count="68">
    <border>
      <left/>
      <right/>
      <top/>
      <bottom/>
      <diagonal/>
    </border>
    <border>
      <left/>
      <right/>
      <top/>
      <bottom style="medium">
        <color indexed="64"/>
      </bottom>
      <diagonal/>
    </border>
    <border>
      <left/>
      <right/>
      <top/>
      <bottom style="medium">
        <color theme="3"/>
      </bottom>
      <diagonal/>
    </border>
    <border>
      <left/>
      <right/>
      <top style="medium">
        <color theme="3"/>
      </top>
      <bottom style="thin">
        <color theme="2"/>
      </bottom>
      <diagonal/>
    </border>
    <border>
      <left/>
      <right/>
      <top style="thin">
        <color theme="2"/>
      </top>
      <bottom style="thin">
        <color theme="2"/>
      </bottom>
      <diagonal/>
    </border>
    <border>
      <left/>
      <right/>
      <top/>
      <bottom style="thin">
        <color theme="2"/>
      </bottom>
      <diagonal/>
    </border>
    <border>
      <left style="thin">
        <color theme="2"/>
      </left>
      <right/>
      <top style="thin">
        <color theme="2"/>
      </top>
      <bottom/>
      <diagonal/>
    </border>
    <border>
      <left/>
      <right/>
      <top style="thin">
        <color theme="2"/>
      </top>
      <bottom/>
      <diagonal/>
    </border>
    <border>
      <left/>
      <right style="thin">
        <color theme="2"/>
      </right>
      <top style="thin">
        <color theme="2"/>
      </top>
      <bottom/>
      <diagonal/>
    </border>
    <border>
      <left style="thin">
        <color theme="0" tint="-0.34998626667073579"/>
      </left>
      <right/>
      <top/>
      <bottom/>
      <diagonal/>
    </border>
    <border>
      <left/>
      <right style="thin">
        <color theme="0" tint="-0.34998626667073579"/>
      </right>
      <top/>
      <bottom/>
      <diagonal/>
    </border>
    <border>
      <left/>
      <right/>
      <top/>
      <bottom style="medium">
        <color theme="2" tint="-9.9978637043366805E-2"/>
      </bottom>
      <diagonal/>
    </border>
    <border>
      <left/>
      <right/>
      <top style="medium">
        <color theme="2" tint="-9.9978637043366805E-2"/>
      </top>
      <bottom/>
      <diagonal/>
    </border>
    <border>
      <left/>
      <right/>
      <top/>
      <bottom style="thin">
        <color theme="0" tint="-0.499984740745262"/>
      </bottom>
      <diagonal/>
    </border>
    <border>
      <left/>
      <right/>
      <top style="medium">
        <color indexed="64"/>
      </top>
      <bottom/>
      <diagonal/>
    </border>
    <border>
      <left/>
      <right style="thin">
        <color theme="0" tint="-0.499984740745262"/>
      </right>
      <top style="medium">
        <color indexed="64"/>
      </top>
      <bottom/>
      <diagonal/>
    </border>
    <border>
      <left/>
      <right style="thin">
        <color theme="0" tint="-0.499984740745262"/>
      </right>
      <top/>
      <bottom/>
      <diagonal/>
    </border>
    <border>
      <left/>
      <right/>
      <top style="thick">
        <color theme="0"/>
      </top>
      <bottom style="thick">
        <color theme="0"/>
      </bottom>
      <diagonal/>
    </border>
    <border>
      <left/>
      <right/>
      <top/>
      <bottom style="thick">
        <color theme="0"/>
      </bottom>
      <diagonal/>
    </border>
    <border>
      <left style="thick">
        <color theme="0"/>
      </left>
      <right/>
      <top style="thick">
        <color theme="0"/>
      </top>
      <bottom style="thick">
        <color theme="0"/>
      </bottom>
      <diagonal/>
    </border>
    <border>
      <left/>
      <right style="thick">
        <color theme="0"/>
      </right>
      <top style="thick">
        <color theme="0"/>
      </top>
      <bottom style="thick">
        <color theme="0"/>
      </bottom>
      <diagonal/>
    </border>
    <border>
      <left style="thick">
        <color theme="0"/>
      </left>
      <right/>
      <top/>
      <bottom style="thick">
        <color theme="0"/>
      </bottom>
      <diagonal/>
    </border>
    <border>
      <left/>
      <right style="thick">
        <color theme="0"/>
      </right>
      <top/>
      <bottom style="thick">
        <color theme="0"/>
      </bottom>
      <diagonal/>
    </border>
    <border>
      <left/>
      <right/>
      <top style="thin">
        <color theme="1" tint="0.499984740745262"/>
      </top>
      <bottom/>
      <diagonal/>
    </border>
    <border>
      <left/>
      <right/>
      <top/>
      <bottom style="thin">
        <color theme="1" tint="0.499984740745262"/>
      </bottom>
      <diagonal/>
    </border>
    <border>
      <left/>
      <right/>
      <top/>
      <bottom style="medium">
        <color theme="0"/>
      </bottom>
      <diagonal/>
    </border>
    <border>
      <left/>
      <right/>
      <top style="medium">
        <color theme="0"/>
      </top>
      <bottom style="medium">
        <color theme="0"/>
      </bottom>
      <diagonal/>
    </border>
    <border>
      <left/>
      <right/>
      <top style="medium">
        <color theme="2" tint="-9.9978637043366805E-2"/>
      </top>
      <bottom style="medium">
        <color theme="0"/>
      </bottom>
      <diagonal/>
    </border>
    <border>
      <left/>
      <right/>
      <top style="thin">
        <color theme="3"/>
      </top>
      <bottom/>
      <diagonal/>
    </border>
    <border>
      <left/>
      <right/>
      <top/>
      <bottom style="thin">
        <color theme="3"/>
      </bottom>
      <diagonal/>
    </border>
    <border>
      <left/>
      <right/>
      <top style="medium">
        <color theme="0"/>
      </top>
      <bottom style="medium">
        <color theme="2" tint="-9.9978637043366805E-2"/>
      </bottom>
      <diagonal/>
    </border>
    <border>
      <left/>
      <right/>
      <top/>
      <bottom style="medium">
        <color theme="0" tint="-0.249977111117893"/>
      </bottom>
      <diagonal/>
    </border>
    <border>
      <left/>
      <right/>
      <top style="medium">
        <color theme="0" tint="-0.249977111117893"/>
      </top>
      <bottom/>
      <diagonal/>
    </border>
    <border>
      <left/>
      <right/>
      <top style="medium">
        <color theme="0" tint="-0.249977111117893"/>
      </top>
      <bottom style="medium">
        <color theme="0"/>
      </bottom>
      <diagonal/>
    </border>
    <border>
      <left style="thin">
        <color theme="0" tint="-0.34998626667073579"/>
      </left>
      <right/>
      <top/>
      <bottom style="medium">
        <color theme="3"/>
      </bottom>
      <diagonal/>
    </border>
    <border>
      <left/>
      <right style="thin">
        <color theme="0" tint="-0.34998626667073579"/>
      </right>
      <top/>
      <bottom style="medium">
        <color theme="3"/>
      </bottom>
      <diagonal/>
    </border>
    <border>
      <left/>
      <right/>
      <top/>
      <bottom style="medium">
        <color theme="2" tint="-0.249977111117893"/>
      </bottom>
      <diagonal/>
    </border>
    <border>
      <left/>
      <right/>
      <top style="medium">
        <color theme="2" tint="-0.249977111117893"/>
      </top>
      <bottom/>
      <diagonal/>
    </border>
    <border>
      <left/>
      <right/>
      <top/>
      <bottom style="thin">
        <color indexed="64"/>
      </bottom>
      <diagonal/>
    </border>
    <border>
      <left/>
      <right/>
      <top/>
      <bottom style="thin">
        <color theme="2" tint="-9.9978637043366805E-2"/>
      </bottom>
      <diagonal/>
    </border>
    <border>
      <left/>
      <right/>
      <top style="medium">
        <color theme="0"/>
      </top>
      <bottom/>
      <diagonal/>
    </border>
    <border>
      <left/>
      <right/>
      <top/>
      <bottom style="medium">
        <color theme="0" tint="-0.14999847407452621"/>
      </bottom>
      <diagonal/>
    </border>
    <border>
      <left/>
      <right/>
      <top style="thin">
        <color indexed="64"/>
      </top>
      <bottom/>
      <diagonal/>
    </border>
    <border>
      <left/>
      <right/>
      <top/>
      <bottom style="medium">
        <color theme="1" tint="0.499984740745262"/>
      </bottom>
      <diagonal/>
    </border>
    <border>
      <left/>
      <right/>
      <top style="thin">
        <color theme="0" tint="-0.499984740745262"/>
      </top>
      <bottom/>
      <diagonal/>
    </border>
    <border>
      <left/>
      <right/>
      <top/>
      <bottom style="medium">
        <color theme="1"/>
      </bottom>
      <diagonal/>
    </border>
    <border>
      <left/>
      <right/>
      <top/>
      <bottom style="thin">
        <color theme="1"/>
      </bottom>
      <diagonal/>
    </border>
    <border>
      <left/>
      <right/>
      <top style="medium">
        <color theme="2" tint="-0.249977111117893"/>
      </top>
      <bottom style="medium">
        <color theme="0"/>
      </bottom>
      <diagonal/>
    </border>
    <border>
      <left/>
      <right/>
      <top/>
      <bottom style="thin">
        <color theme="6"/>
      </bottom>
      <diagonal/>
    </border>
    <border>
      <left style="thin">
        <color theme="3"/>
      </left>
      <right style="thin">
        <color theme="3"/>
      </right>
      <top style="thin">
        <color theme="3"/>
      </top>
      <bottom style="thin">
        <color theme="3"/>
      </bottom>
      <diagonal/>
    </border>
    <border>
      <left style="thin">
        <color theme="3"/>
      </left>
      <right style="thin">
        <color theme="3"/>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theme="1" tint="0.499984740745262"/>
      </top>
      <bottom/>
      <diagonal/>
    </border>
    <border>
      <left/>
      <right style="thin">
        <color indexed="64"/>
      </right>
      <top style="thin">
        <color theme="1" tint="0.499984740745262"/>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2" tint="-9.9978637043366805E-2"/>
      </top>
      <bottom style="medium">
        <color theme="0"/>
      </bottom>
      <diagonal/>
    </border>
    <border>
      <left style="thin">
        <color indexed="64"/>
      </left>
      <right style="thin">
        <color indexed="64"/>
      </right>
      <top/>
      <bottom/>
      <diagonal/>
    </border>
    <border>
      <left style="thin">
        <color theme="3"/>
      </left>
      <right/>
      <top/>
      <bottom/>
      <diagonal/>
    </border>
    <border>
      <left/>
      <right/>
      <top style="medium">
        <color theme="0" tint="-0.14999847407452621"/>
      </top>
      <bottom/>
      <diagonal/>
    </border>
    <border>
      <left/>
      <right style="thin">
        <color theme="2"/>
      </right>
      <top style="thin">
        <color theme="2"/>
      </top>
      <bottom style="thin">
        <color theme="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theme="0" tint="-0.499984740745262"/>
      </bottom>
      <diagonal/>
    </border>
    <border>
      <left/>
      <right/>
      <top style="thin">
        <color indexed="64"/>
      </top>
      <bottom style="thin">
        <color theme="3"/>
      </bottom>
      <diagonal/>
    </border>
  </borders>
  <cellStyleXfs count="3">
    <xf numFmtId="0" fontId="0" fillId="0" borderId="0"/>
    <xf numFmtId="0" fontId="6" fillId="0" borderId="0" applyNumberFormat="0" applyFill="0" applyBorder="0" applyAlignment="0" applyProtection="0"/>
    <xf numFmtId="0" fontId="32" fillId="11" borderId="0" applyNumberFormat="0" applyBorder="0" applyAlignment="0" applyProtection="0"/>
  </cellStyleXfs>
  <cellXfs count="426">
    <xf numFmtId="0" fontId="0" fillId="0" borderId="0" xfId="0"/>
    <xf numFmtId="0" fontId="1" fillId="0" borderId="0" xfId="0" applyFont="1"/>
    <xf numFmtId="0" fontId="2" fillId="0" borderId="0" xfId="0" applyFont="1" applyBorder="1"/>
    <xf numFmtId="0" fontId="2" fillId="0" borderId="0" xfId="0" applyFont="1"/>
    <xf numFmtId="0" fontId="1" fillId="4" borderId="0" xfId="0" applyFont="1" applyFill="1" applyBorder="1"/>
    <xf numFmtId="0" fontId="4" fillId="0" borderId="0" xfId="0" applyFont="1" applyAlignment="1">
      <alignment vertical="center"/>
    </xf>
    <xf numFmtId="0" fontId="1" fillId="3" borderId="0" xfId="0" applyFont="1" applyFill="1" applyBorder="1"/>
    <xf numFmtId="0" fontId="1" fillId="4" borderId="0" xfId="0" applyFont="1" applyFill="1"/>
    <xf numFmtId="0" fontId="1" fillId="5" borderId="0" xfId="0" applyFont="1" applyFill="1" applyBorder="1"/>
    <xf numFmtId="0" fontId="1" fillId="4" borderId="0" xfId="0" applyFont="1" applyFill="1" applyBorder="1" applyAlignment="1">
      <alignment horizontal="left" wrapText="1" indent="1"/>
    </xf>
    <xf numFmtId="0" fontId="2" fillId="4" borderId="2" xfId="0" applyFont="1" applyFill="1" applyBorder="1" applyAlignment="1">
      <alignment horizontal="left"/>
    </xf>
    <xf numFmtId="0" fontId="1" fillId="4" borderId="0" xfId="0" applyFont="1" applyFill="1" applyBorder="1" applyAlignment="1">
      <alignment horizontal="left" indent="1"/>
    </xf>
    <xf numFmtId="0" fontId="1" fillId="4" borderId="0" xfId="0" applyFont="1" applyFill="1" applyBorder="1" applyAlignment="1">
      <alignment horizontal="left" indent="2"/>
    </xf>
    <xf numFmtId="0" fontId="7" fillId="4" borderId="0" xfId="0" applyFont="1" applyFill="1" applyBorder="1" applyAlignment="1">
      <alignment horizontal="left" wrapText="1"/>
    </xf>
    <xf numFmtId="0" fontId="1" fillId="0" borderId="0" xfId="0" applyFont="1" applyFill="1" applyBorder="1"/>
    <xf numFmtId="0" fontId="1" fillId="0" borderId="0" xfId="0" applyFont="1" applyFill="1"/>
    <xf numFmtId="0" fontId="3" fillId="0" borderId="0" xfId="0" applyFont="1" applyFill="1" applyBorder="1"/>
    <xf numFmtId="0" fontId="2" fillId="0" borderId="0" xfId="0" applyFont="1" applyFill="1" applyBorder="1"/>
    <xf numFmtId="0" fontId="2" fillId="0" borderId="0" xfId="0" applyFont="1" applyFill="1" applyBorder="1" applyAlignment="1">
      <alignment horizontal="left" vertical="top"/>
    </xf>
    <xf numFmtId="0" fontId="1" fillId="0" borderId="0" xfId="0" applyFont="1" applyFill="1" applyBorder="1" applyAlignment="1">
      <alignment vertical="top"/>
    </xf>
    <xf numFmtId="0" fontId="2" fillId="0" borderId="0" xfId="0" applyFont="1" applyFill="1" applyBorder="1" applyAlignment="1">
      <alignment vertical="top"/>
    </xf>
    <xf numFmtId="0" fontId="1" fillId="4" borderId="0" xfId="0" applyFont="1" applyFill="1" applyBorder="1" applyAlignment="1">
      <alignment wrapText="1"/>
    </xf>
    <xf numFmtId="0" fontId="2" fillId="5" borderId="0" xfId="0" applyFont="1" applyFill="1" applyBorder="1" applyAlignment="1">
      <alignment vertical="center"/>
    </xf>
    <xf numFmtId="0" fontId="2" fillId="4" borderId="0" xfId="0" applyFont="1" applyFill="1" applyBorder="1" applyAlignment="1">
      <alignment vertical="center"/>
    </xf>
    <xf numFmtId="0" fontId="2" fillId="5" borderId="0" xfId="0" applyFont="1" applyFill="1" applyBorder="1" applyAlignment="1">
      <alignment horizontal="left" vertical="center"/>
    </xf>
    <xf numFmtId="0" fontId="1" fillId="4" borderId="0" xfId="0" applyFont="1" applyFill="1" applyBorder="1" applyAlignment="1">
      <alignment horizontal="left" vertical="center" wrapText="1" indent="1"/>
    </xf>
    <xf numFmtId="0" fontId="1" fillId="6" borderId="0" xfId="0" applyFont="1" applyFill="1" applyBorder="1" applyAlignment="1">
      <alignment horizontal="center"/>
    </xf>
    <xf numFmtId="0" fontId="1" fillId="6" borderId="0" xfId="0" applyFont="1" applyFill="1" applyBorder="1"/>
    <xf numFmtId="0" fontId="2" fillId="6" borderId="0" xfId="0" applyFont="1" applyFill="1" applyBorder="1" applyAlignment="1">
      <alignment horizontal="left" vertical="center"/>
    </xf>
    <xf numFmtId="0" fontId="2" fillId="5" borderId="5" xfId="0" applyFont="1" applyFill="1" applyBorder="1" applyAlignment="1">
      <alignment horizontal="left" vertical="center"/>
    </xf>
    <xf numFmtId="0" fontId="2" fillId="5" borderId="4" xfId="0" applyFont="1" applyFill="1" applyBorder="1" applyAlignment="1">
      <alignment horizontal="left" vertical="center"/>
    </xf>
    <xf numFmtId="0" fontId="2" fillId="4" borderId="2" xfId="0" applyFont="1" applyFill="1" applyBorder="1" applyAlignment="1">
      <alignment horizontal="left" vertical="center"/>
    </xf>
    <xf numFmtId="0" fontId="2" fillId="4" borderId="2" xfId="0" applyFont="1" applyFill="1" applyBorder="1" applyAlignment="1">
      <alignment vertical="center"/>
    </xf>
    <xf numFmtId="0" fontId="1" fillId="6" borderId="0" xfId="0" applyFont="1" applyFill="1" applyBorder="1" applyAlignment="1">
      <alignment horizontal="left" wrapText="1" indent="1"/>
    </xf>
    <xf numFmtId="0" fontId="1" fillId="6" borderId="0" xfId="0" applyFont="1" applyFill="1"/>
    <xf numFmtId="0" fontId="1" fillId="0" borderId="0" xfId="0" applyFont="1" applyFill="1" applyBorder="1" applyAlignment="1">
      <alignment horizontal="left" wrapText="1" indent="1"/>
    </xf>
    <xf numFmtId="0" fontId="2" fillId="6" borderId="0" xfId="0" applyFont="1" applyFill="1" applyBorder="1" applyAlignment="1">
      <alignment horizontal="left" indent="1"/>
    </xf>
    <xf numFmtId="0" fontId="2" fillId="6" borderId="2" xfId="0" applyFont="1" applyFill="1" applyBorder="1" applyAlignment="1">
      <alignment horizontal="left"/>
    </xf>
    <xf numFmtId="0" fontId="2" fillId="6" borderId="2" xfId="0" applyFont="1" applyFill="1" applyBorder="1" applyAlignment="1">
      <alignment horizontal="center"/>
    </xf>
    <xf numFmtId="0" fontId="1" fillId="5" borderId="0" xfId="0" applyFont="1" applyFill="1" applyBorder="1" applyAlignment="1">
      <alignment horizontal="center" vertical="center"/>
    </xf>
    <xf numFmtId="0" fontId="1" fillId="5" borderId="0" xfId="0" applyFont="1" applyFill="1" applyBorder="1" applyAlignment="1">
      <alignment vertical="center"/>
    </xf>
    <xf numFmtId="0" fontId="2" fillId="5" borderId="3" xfId="0" applyFont="1" applyFill="1" applyBorder="1" applyAlignment="1">
      <alignment horizontal="left" vertical="center"/>
    </xf>
    <xf numFmtId="0" fontId="2" fillId="5" borderId="3" xfId="0" applyFont="1" applyFill="1" applyBorder="1" applyAlignment="1">
      <alignment horizontal="center" vertical="center"/>
    </xf>
    <xf numFmtId="0" fontId="1" fillId="5" borderId="5" xfId="0" applyFont="1" applyFill="1" applyBorder="1" applyAlignment="1">
      <alignment horizontal="center" vertical="center"/>
    </xf>
    <xf numFmtId="0" fontId="1" fillId="5" borderId="5" xfId="0" applyFont="1" applyFill="1" applyBorder="1" applyAlignment="1">
      <alignment vertical="center"/>
    </xf>
    <xf numFmtId="0" fontId="1" fillId="5" borderId="4" xfId="0" applyFont="1" applyFill="1" applyBorder="1" applyAlignment="1">
      <alignment horizontal="center" vertical="center"/>
    </xf>
    <xf numFmtId="0" fontId="1" fillId="5" borderId="4" xfId="0" applyFont="1" applyFill="1" applyBorder="1" applyAlignment="1">
      <alignment vertical="center"/>
    </xf>
    <xf numFmtId="0" fontId="7" fillId="6" borderId="0" xfId="0" applyFont="1" applyFill="1" applyBorder="1" applyAlignment="1">
      <alignment horizontal="left" wrapText="1"/>
    </xf>
    <xf numFmtId="0" fontId="13" fillId="0" borderId="0" xfId="0" applyFont="1"/>
    <xf numFmtId="0" fontId="13" fillId="0" borderId="0" xfId="0" applyFont="1" applyBorder="1"/>
    <xf numFmtId="0" fontId="14" fillId="0" borderId="0" xfId="0" applyFont="1" applyBorder="1"/>
    <xf numFmtId="0" fontId="14" fillId="2" borderId="0" xfId="0" applyFont="1" applyFill="1" applyBorder="1" applyAlignment="1">
      <alignment vertical="center"/>
    </xf>
    <xf numFmtId="0" fontId="14" fillId="0" borderId="0" xfId="0" applyFont="1" applyAlignment="1">
      <alignment horizontal="center" vertical="center"/>
    </xf>
    <xf numFmtId="0" fontId="5" fillId="2" borderId="1" xfId="0" applyFont="1" applyFill="1" applyBorder="1" applyAlignment="1">
      <alignment vertical="center"/>
    </xf>
    <xf numFmtId="0" fontId="5" fillId="2" borderId="1" xfId="0" applyFont="1" applyFill="1" applyBorder="1" applyAlignment="1">
      <alignment vertical="center" wrapText="1"/>
    </xf>
    <xf numFmtId="0" fontId="19" fillId="2" borderId="1" xfId="0" applyFont="1" applyFill="1" applyBorder="1" applyAlignment="1">
      <alignment horizontal="center" vertical="center"/>
    </xf>
    <xf numFmtId="0" fontId="1" fillId="0" borderId="0" xfId="0" applyFont="1" applyFill="1"/>
    <xf numFmtId="0" fontId="2" fillId="6" borderId="0" xfId="0" applyFont="1" applyFill="1"/>
    <xf numFmtId="0" fontId="1" fillId="6" borderId="0" xfId="0" applyFont="1" applyFill="1" applyBorder="1" applyAlignment="1">
      <alignment wrapText="1"/>
    </xf>
    <xf numFmtId="0" fontId="1" fillId="6" borderId="0" xfId="0" applyFont="1" applyFill="1" applyBorder="1" applyAlignment="1">
      <alignment horizontal="left" vertical="center" wrapText="1" indent="1"/>
    </xf>
    <xf numFmtId="0" fontId="2" fillId="6" borderId="0" xfId="0" applyFont="1" applyFill="1" applyBorder="1" applyAlignment="1">
      <alignment vertical="center"/>
    </xf>
    <xf numFmtId="0" fontId="1" fillId="6" borderId="0" xfId="0" applyFont="1" applyFill="1" applyBorder="1" applyAlignment="1">
      <alignment horizontal="left" indent="1"/>
    </xf>
    <xf numFmtId="0" fontId="1" fillId="6" borderId="0" xfId="0" applyFont="1" applyFill="1" applyBorder="1" applyAlignment="1">
      <alignment horizontal="left" indent="2"/>
    </xf>
    <xf numFmtId="0" fontId="1" fillId="6" borderId="0" xfId="0" applyFont="1" applyFill="1" applyBorder="1" applyAlignment="1">
      <alignment horizontal="center" vertical="center"/>
    </xf>
    <xf numFmtId="0" fontId="1" fillId="6" borderId="0" xfId="0" applyFont="1" applyFill="1" applyBorder="1" applyAlignment="1">
      <alignment vertical="center"/>
    </xf>
    <xf numFmtId="0" fontId="2" fillId="6" borderId="0" xfId="0" applyFont="1" applyFill="1" applyBorder="1" applyAlignment="1">
      <alignment horizontal="center" vertical="center"/>
    </xf>
    <xf numFmtId="49" fontId="1" fillId="6" borderId="0" xfId="0" applyNumberFormat="1" applyFont="1" applyFill="1" applyBorder="1" applyAlignment="1">
      <alignment vertical="center"/>
    </xf>
    <xf numFmtId="0" fontId="2" fillId="6" borderId="0" xfId="0" applyFont="1" applyFill="1" applyBorder="1" applyAlignment="1"/>
    <xf numFmtId="0" fontId="1" fillId="6" borderId="0" xfId="0" applyFont="1" applyFill="1" applyBorder="1" applyAlignment="1">
      <alignment vertical="center" wrapText="1"/>
    </xf>
    <xf numFmtId="0" fontId="1" fillId="6" borderId="0" xfId="0" applyFont="1" applyFill="1" applyBorder="1" applyAlignment="1"/>
    <xf numFmtId="0" fontId="1" fillId="6" borderId="0" xfId="0" applyFont="1" applyFill="1" applyBorder="1" applyAlignment="1">
      <alignment vertical="top" wrapText="1"/>
    </xf>
    <xf numFmtId="0" fontId="2" fillId="6" borderId="0" xfId="0" applyFont="1" applyFill="1" applyBorder="1" applyAlignment="1">
      <alignment vertical="top" wrapText="1"/>
    </xf>
    <xf numFmtId="0" fontId="2" fillId="6" borderId="0" xfId="0" applyFont="1" applyFill="1" applyBorder="1" applyAlignment="1">
      <alignment vertical="top"/>
    </xf>
    <xf numFmtId="0" fontId="2" fillId="6" borderId="0" xfId="0" applyFont="1" applyFill="1" applyBorder="1" applyAlignment="1">
      <alignment vertical="center" wrapText="1"/>
    </xf>
    <xf numFmtId="0" fontId="15" fillId="0" borderId="13" xfId="0" applyFont="1" applyBorder="1"/>
    <xf numFmtId="0" fontId="13" fillId="0" borderId="13" xfId="0" applyFont="1" applyBorder="1"/>
    <xf numFmtId="0" fontId="14" fillId="2" borderId="14" xfId="0" applyFont="1" applyFill="1" applyBorder="1" applyAlignment="1">
      <alignment vertical="center"/>
    </xf>
    <xf numFmtId="0" fontId="18" fillId="8" borderId="1" xfId="0" applyFont="1" applyFill="1" applyBorder="1" applyAlignment="1">
      <alignment horizontal="center" vertical="center"/>
    </xf>
    <xf numFmtId="0" fontId="7" fillId="4" borderId="0" xfId="0" applyFont="1" applyFill="1" applyBorder="1" applyAlignment="1">
      <alignment wrapText="1"/>
    </xf>
    <xf numFmtId="0" fontId="9" fillId="4" borderId="0" xfId="0" applyFont="1" applyFill="1" applyBorder="1" applyAlignment="1">
      <alignment vertical="top" wrapText="1"/>
    </xf>
    <xf numFmtId="0" fontId="12" fillId="4" borderId="0" xfId="0" applyFont="1" applyFill="1" applyBorder="1" applyAlignment="1">
      <alignment vertical="top" wrapText="1"/>
    </xf>
    <xf numFmtId="0" fontId="7" fillId="6" borderId="0" xfId="0" applyFont="1" applyFill="1" applyBorder="1" applyAlignment="1">
      <alignment vertical="center" wrapText="1"/>
    </xf>
    <xf numFmtId="0" fontId="2" fillId="4" borderId="0" xfId="0" applyFont="1" applyFill="1" applyBorder="1" applyAlignment="1">
      <alignment horizontal="left"/>
    </xf>
    <xf numFmtId="0" fontId="21" fillId="4" borderId="0" xfId="0" applyFont="1" applyFill="1" applyBorder="1" applyAlignment="1">
      <alignment vertical="top"/>
    </xf>
    <xf numFmtId="0" fontId="2" fillId="4" borderId="0" xfId="0" applyFont="1" applyFill="1" applyBorder="1" applyAlignment="1"/>
    <xf numFmtId="0" fontId="1" fillId="0" borderId="0" xfId="0" applyFont="1" applyFill="1" applyBorder="1" applyAlignment="1">
      <alignment wrapText="1"/>
    </xf>
    <xf numFmtId="0" fontId="7" fillId="0" borderId="0" xfId="0" applyFont="1" applyFill="1" applyBorder="1" applyAlignment="1">
      <alignment wrapText="1"/>
    </xf>
    <xf numFmtId="0" fontId="7" fillId="0" borderId="0" xfId="0" applyFont="1" applyFill="1" applyBorder="1" applyAlignment="1">
      <alignment horizontal="left" wrapText="1"/>
    </xf>
    <xf numFmtId="0" fontId="10" fillId="0" borderId="0" xfId="0" applyFont="1" applyFill="1" applyBorder="1" applyAlignment="1"/>
    <xf numFmtId="0" fontId="1" fillId="4" borderId="6" xfId="0" applyFont="1" applyFill="1" applyBorder="1" applyAlignment="1">
      <alignment wrapText="1"/>
    </xf>
    <xf numFmtId="0" fontId="1" fillId="4" borderId="7" xfId="0" applyFont="1" applyFill="1" applyBorder="1" applyAlignment="1">
      <alignment wrapText="1"/>
    </xf>
    <xf numFmtId="0" fontId="1" fillId="4" borderId="8" xfId="0" applyFont="1" applyFill="1" applyBorder="1" applyAlignment="1">
      <alignment wrapText="1"/>
    </xf>
    <xf numFmtId="0" fontId="27" fillId="0" borderId="0" xfId="0" applyFont="1" applyFill="1" applyBorder="1" applyAlignment="1"/>
    <xf numFmtId="0" fontId="1" fillId="7" borderId="0" xfId="0" applyFont="1" applyFill="1" applyBorder="1"/>
    <xf numFmtId="0" fontId="17" fillId="7" borderId="19" xfId="0" applyFont="1" applyFill="1" applyBorder="1" applyAlignment="1">
      <alignment horizontal="center" vertical="center"/>
    </xf>
    <xf numFmtId="0" fontId="17" fillId="7" borderId="17" xfId="0" applyFont="1" applyFill="1" applyBorder="1" applyAlignment="1">
      <alignment vertical="center"/>
    </xf>
    <xf numFmtId="0" fontId="17" fillId="7" borderId="18" xfId="0" applyFont="1" applyFill="1" applyBorder="1"/>
    <xf numFmtId="0" fontId="1" fillId="9" borderId="18" xfId="0" applyFont="1" applyFill="1" applyBorder="1" applyAlignment="1">
      <alignment vertical="center"/>
    </xf>
    <xf numFmtId="0" fontId="1" fillId="6" borderId="18" xfId="0" applyFont="1" applyFill="1" applyBorder="1"/>
    <xf numFmtId="0" fontId="1" fillId="7" borderId="0" xfId="0" applyFont="1" applyFill="1" applyBorder="1" applyAlignment="1">
      <alignment horizontal="left" indent="1"/>
    </xf>
    <xf numFmtId="0" fontId="4" fillId="0" borderId="0" xfId="0" applyFont="1"/>
    <xf numFmtId="0" fontId="17" fillId="0" borderId="0" xfId="0" applyFont="1" applyFill="1"/>
    <xf numFmtId="0" fontId="1" fillId="0" borderId="0" xfId="0" applyFont="1" applyAlignment="1">
      <alignment horizontal="center"/>
    </xf>
    <xf numFmtId="0" fontId="17" fillId="0" borderId="0" xfId="0" applyFont="1" applyFill="1" applyAlignment="1"/>
    <xf numFmtId="0" fontId="17" fillId="7" borderId="18" xfId="0" applyFont="1" applyFill="1" applyBorder="1" applyAlignment="1">
      <alignment horizontal="center"/>
    </xf>
    <xf numFmtId="0" fontId="17" fillId="7" borderId="18" xfId="0" applyFont="1" applyFill="1" applyBorder="1" applyAlignment="1"/>
    <xf numFmtId="0" fontId="2" fillId="9" borderId="18" xfId="0" applyFont="1" applyFill="1" applyBorder="1" applyAlignment="1">
      <alignment horizontal="center"/>
    </xf>
    <xf numFmtId="14" fontId="1" fillId="6" borderId="18" xfId="0" applyNumberFormat="1" applyFont="1" applyFill="1" applyBorder="1" applyAlignment="1">
      <alignment horizontal="center"/>
    </xf>
    <xf numFmtId="0" fontId="1" fillId="6" borderId="18" xfId="0" applyFont="1" applyFill="1" applyBorder="1" applyAlignment="1">
      <alignment horizontal="left"/>
    </xf>
    <xf numFmtId="0" fontId="1" fillId="9" borderId="17" xfId="0" applyFont="1" applyFill="1" applyBorder="1" applyAlignment="1">
      <alignment vertical="center"/>
    </xf>
    <xf numFmtId="0" fontId="17" fillId="7" borderId="17" xfId="0" applyFont="1" applyFill="1" applyBorder="1" applyAlignment="1">
      <alignment horizontal="center" vertical="center"/>
    </xf>
    <xf numFmtId="0" fontId="22" fillId="9" borderId="21" xfId="0" applyFont="1" applyFill="1" applyBorder="1" applyAlignment="1">
      <alignment horizontal="center" vertical="center"/>
    </xf>
    <xf numFmtId="0" fontId="11" fillId="9" borderId="21" xfId="0" applyFont="1" applyFill="1" applyBorder="1" applyAlignment="1">
      <alignment horizontal="center" vertical="center"/>
    </xf>
    <xf numFmtId="0" fontId="21" fillId="0" borderId="0" xfId="0" applyFont="1"/>
    <xf numFmtId="0" fontId="11" fillId="4" borderId="0" xfId="0" applyFont="1" applyFill="1" applyBorder="1" applyAlignment="1">
      <alignment vertical="top" wrapText="1"/>
    </xf>
    <xf numFmtId="0" fontId="6" fillId="6" borderId="17" xfId="1" applyFill="1" applyBorder="1" applyAlignment="1">
      <alignment horizontal="center" vertical="center"/>
    </xf>
    <xf numFmtId="0" fontId="1" fillId="0" borderId="0" xfId="0" applyFont="1" applyFill="1"/>
    <xf numFmtId="0" fontId="2" fillId="0" borderId="23" xfId="0" applyFont="1" applyBorder="1"/>
    <xf numFmtId="14" fontId="1" fillId="0" borderId="0" xfId="0" applyNumberFormat="1" applyFont="1" applyFill="1" applyBorder="1" applyAlignment="1">
      <alignment horizontal="left"/>
    </xf>
    <xf numFmtId="0" fontId="1" fillId="0" borderId="0" xfId="0" applyFont="1" applyFill="1" applyBorder="1" applyAlignment="1">
      <alignment horizontal="left"/>
    </xf>
    <xf numFmtId="0" fontId="3" fillId="0" borderId="0" xfId="0" applyFont="1" applyFill="1" applyBorder="1" applyAlignment="1">
      <alignment vertical="center"/>
    </xf>
    <xf numFmtId="0" fontId="1" fillId="0" borderId="0" xfId="0" applyFont="1" applyFill="1" applyBorder="1" applyAlignment="1">
      <alignment horizontal="left" vertical="center" indent="1"/>
    </xf>
    <xf numFmtId="0" fontId="29" fillId="0" borderId="0" xfId="0" applyFont="1" applyAlignment="1">
      <alignment vertical="center"/>
    </xf>
    <xf numFmtId="0" fontId="27" fillId="5" borderId="0" xfId="0" applyFont="1" applyFill="1" applyBorder="1" applyAlignment="1"/>
    <xf numFmtId="0" fontId="1" fillId="5" borderId="0" xfId="0" applyFont="1" applyFill="1" applyBorder="1" applyAlignment="1">
      <alignment horizontal="left" vertical="center" indent="1"/>
    </xf>
    <xf numFmtId="0" fontId="13" fillId="0" borderId="28" xfId="0" applyFont="1" applyBorder="1"/>
    <xf numFmtId="0" fontId="13" fillId="0" borderId="29" xfId="0" applyFont="1" applyBorder="1"/>
    <xf numFmtId="0" fontId="13" fillId="0" borderId="0" xfId="0" applyFont="1" applyAlignment="1">
      <alignment horizontal="center"/>
    </xf>
    <xf numFmtId="0" fontId="13" fillId="0" borderId="28" xfId="0" applyFont="1" applyBorder="1" applyAlignment="1">
      <alignment horizontal="center"/>
    </xf>
    <xf numFmtId="0" fontId="13" fillId="0" borderId="0" xfId="0" applyFont="1" applyBorder="1" applyAlignment="1">
      <alignment horizontal="center"/>
    </xf>
    <xf numFmtId="0" fontId="13" fillId="0" borderId="29" xfId="0" applyFont="1" applyBorder="1" applyAlignment="1">
      <alignment horizontal="center"/>
    </xf>
    <xf numFmtId="0" fontId="1" fillId="0" borderId="0" xfId="0" applyFont="1" applyFill="1"/>
    <xf numFmtId="0" fontId="1" fillId="0" borderId="0" xfId="0" applyFont="1" applyFill="1" applyBorder="1" applyAlignment="1">
      <alignment vertical="center"/>
    </xf>
    <xf numFmtId="0" fontId="17" fillId="0" borderId="20" xfId="0" applyFont="1" applyFill="1" applyBorder="1"/>
    <xf numFmtId="0" fontId="1" fillId="0" borderId="22" xfId="0" applyFont="1" applyFill="1" applyBorder="1" applyAlignment="1">
      <alignment horizontal="left" vertical="center" wrapText="1" indent="1"/>
    </xf>
    <xf numFmtId="0" fontId="1" fillId="0" borderId="22" xfId="0" applyFont="1" applyFill="1" applyBorder="1" applyAlignment="1">
      <alignment vertical="center"/>
    </xf>
    <xf numFmtId="0" fontId="1" fillId="0" borderId="22" xfId="0" applyFont="1" applyFill="1" applyBorder="1" applyAlignment="1">
      <alignment vertical="center" wrapText="1"/>
    </xf>
    <xf numFmtId="0" fontId="1" fillId="0" borderId="20" xfId="0" applyFont="1" applyFill="1" applyBorder="1" applyAlignment="1">
      <alignment vertical="center" wrapText="1"/>
    </xf>
    <xf numFmtId="0" fontId="2" fillId="10" borderId="18" xfId="0" applyFont="1" applyFill="1" applyBorder="1" applyAlignment="1">
      <alignment horizontal="center" vertical="center"/>
    </xf>
    <xf numFmtId="0" fontId="1" fillId="0" borderId="0" xfId="0" applyFont="1" applyFill="1" applyBorder="1" applyAlignment="1">
      <alignment horizontal="left" indent="2"/>
    </xf>
    <xf numFmtId="0" fontId="14" fillId="0" borderId="2" xfId="0" applyFont="1" applyBorder="1" applyAlignment="1">
      <alignment horizontal="center" vertical="center"/>
    </xf>
    <xf numFmtId="0" fontId="13" fillId="0" borderId="1" xfId="0" applyFont="1" applyBorder="1"/>
    <xf numFmtId="0" fontId="13" fillId="0" borderId="38" xfId="0" applyFont="1" applyBorder="1"/>
    <xf numFmtId="0" fontId="13" fillId="0" borderId="42" xfId="0" applyFont="1" applyBorder="1"/>
    <xf numFmtId="0" fontId="13" fillId="0" borderId="0" xfId="0" applyFont="1" applyAlignment="1">
      <alignment horizontal="left" indent="1"/>
    </xf>
    <xf numFmtId="0" fontId="2" fillId="5" borderId="0" xfId="0" applyFont="1" applyFill="1" applyBorder="1" applyAlignment="1">
      <alignment horizontal="left" vertical="center" wrapText="1"/>
    </xf>
    <xf numFmtId="0" fontId="2" fillId="5" borderId="4" xfId="0" applyFont="1" applyFill="1" applyBorder="1" applyAlignment="1">
      <alignment horizontal="left" vertical="center" wrapText="1"/>
    </xf>
    <xf numFmtId="0" fontId="13" fillId="0" borderId="0" xfId="0" applyFont="1" applyFill="1" applyBorder="1"/>
    <xf numFmtId="0" fontId="13" fillId="0" borderId="0" xfId="0" applyFont="1" applyFill="1"/>
    <xf numFmtId="0" fontId="13" fillId="0" borderId="24" xfId="0" applyFont="1" applyBorder="1"/>
    <xf numFmtId="0" fontId="13" fillId="0" borderId="39" xfId="0" applyFont="1" applyBorder="1"/>
    <xf numFmtId="0" fontId="15" fillId="0" borderId="39" xfId="0" applyFont="1" applyBorder="1"/>
    <xf numFmtId="0" fontId="13" fillId="0" borderId="44" xfId="0" applyFont="1" applyBorder="1"/>
    <xf numFmtId="0" fontId="13" fillId="0" borderId="43" xfId="0" applyFont="1" applyBorder="1"/>
    <xf numFmtId="0" fontId="13" fillId="0" borderId="45" xfId="0" applyFont="1" applyBorder="1"/>
    <xf numFmtId="0" fontId="15" fillId="0" borderId="0" xfId="0" applyFont="1" applyBorder="1"/>
    <xf numFmtId="0" fontId="13" fillId="0" borderId="46" xfId="0" applyFont="1" applyBorder="1"/>
    <xf numFmtId="0" fontId="13" fillId="0" borderId="23" xfId="0" applyFont="1" applyBorder="1"/>
    <xf numFmtId="0" fontId="1" fillId="0" borderId="0" xfId="0" applyFont="1" applyFill="1"/>
    <xf numFmtId="0" fontId="2" fillId="0" borderId="0" xfId="0" applyFont="1" applyAlignment="1">
      <alignment horizontal="center"/>
    </xf>
    <xf numFmtId="0" fontId="2" fillId="0" borderId="0" xfId="0" applyFont="1" applyAlignment="1">
      <alignment horizontal="center" vertical="center"/>
    </xf>
    <xf numFmtId="0" fontId="2" fillId="0" borderId="0" xfId="0" applyFont="1" applyFill="1" applyBorder="1" applyAlignment="1">
      <alignment horizontal="center" vertical="center"/>
    </xf>
    <xf numFmtId="0" fontId="18" fillId="12" borderId="1" xfId="0" applyFont="1" applyFill="1" applyBorder="1" applyAlignment="1">
      <alignment horizontal="center" vertical="center"/>
    </xf>
    <xf numFmtId="0" fontId="18" fillId="12" borderId="1" xfId="2" applyFont="1" applyFill="1" applyBorder="1" applyAlignment="1">
      <alignment horizontal="center" vertical="center"/>
    </xf>
    <xf numFmtId="0" fontId="13" fillId="0" borderId="48" xfId="0" applyFont="1" applyBorder="1"/>
    <xf numFmtId="0" fontId="1" fillId="0" borderId="0" xfId="0" applyNumberFormat="1" applyFont="1" applyBorder="1" applyAlignment="1">
      <alignment horizontal="center"/>
    </xf>
    <xf numFmtId="0" fontId="34" fillId="0" borderId="0" xfId="0" applyFont="1" applyFill="1" applyBorder="1" applyAlignment="1">
      <alignment horizontal="left" vertical="center" wrapText="1" indent="3"/>
    </xf>
    <xf numFmtId="0" fontId="17" fillId="7" borderId="49" xfId="0" applyFont="1" applyFill="1" applyBorder="1" applyAlignment="1">
      <alignment vertical="center"/>
    </xf>
    <xf numFmtId="0" fontId="17" fillId="7" borderId="49" xfId="0" applyFont="1" applyFill="1" applyBorder="1" applyAlignment="1">
      <alignment horizontal="center" vertical="center"/>
    </xf>
    <xf numFmtId="0" fontId="21" fillId="6" borderId="49" xfId="0" applyFont="1" applyFill="1" applyBorder="1" applyAlignment="1">
      <alignment horizontal="center" vertical="center"/>
    </xf>
    <xf numFmtId="0" fontId="1" fillId="0" borderId="50" xfId="0" applyNumberFormat="1" applyFont="1" applyBorder="1" applyAlignment="1">
      <alignment horizontal="center"/>
    </xf>
    <xf numFmtId="0" fontId="1" fillId="0" borderId="50" xfId="0" applyFont="1" applyBorder="1" applyAlignment="1">
      <alignment horizontal="center"/>
    </xf>
    <xf numFmtId="0" fontId="28" fillId="0" borderId="50" xfId="0" applyFont="1" applyBorder="1" applyAlignment="1">
      <alignment vertical="center"/>
    </xf>
    <xf numFmtId="0" fontId="1" fillId="0" borderId="53" xfId="0" applyFont="1" applyBorder="1"/>
    <xf numFmtId="0" fontId="2" fillId="0" borderId="54" xfId="0" applyFont="1" applyBorder="1"/>
    <xf numFmtId="0" fontId="1" fillId="0" borderId="55" xfId="0" applyFont="1" applyBorder="1"/>
    <xf numFmtId="0" fontId="2" fillId="0" borderId="56" xfId="0" applyFont="1" applyBorder="1"/>
    <xf numFmtId="0" fontId="20" fillId="0" borderId="57" xfId="0" applyFont="1" applyBorder="1"/>
    <xf numFmtId="0" fontId="2" fillId="0" borderId="38" xfId="0" applyFont="1" applyBorder="1"/>
    <xf numFmtId="0" fontId="2" fillId="0" borderId="58" xfId="0" applyFont="1" applyBorder="1"/>
    <xf numFmtId="0" fontId="5" fillId="2" borderId="11"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11" xfId="0" applyFont="1" applyFill="1" applyBorder="1" applyAlignment="1">
      <alignment horizontal="center" vertical="center"/>
    </xf>
    <xf numFmtId="0" fontId="1" fillId="0" borderId="50" xfId="0" applyFont="1" applyBorder="1"/>
    <xf numFmtId="0" fontId="2" fillId="0" borderId="60" xfId="0" applyFont="1" applyBorder="1"/>
    <xf numFmtId="0" fontId="10" fillId="0" borderId="19" xfId="0" applyFont="1" applyFill="1" applyBorder="1" applyAlignment="1">
      <alignment horizontal="center" vertical="center"/>
    </xf>
    <xf numFmtId="0" fontId="1" fillId="0" borderId="17" xfId="0" applyFont="1" applyFill="1" applyBorder="1" applyAlignment="1">
      <alignment vertical="center"/>
    </xf>
    <xf numFmtId="0" fontId="2" fillId="0" borderId="18" xfId="0" applyFont="1" applyFill="1" applyBorder="1" applyAlignment="1">
      <alignment horizontal="center" vertical="center"/>
    </xf>
    <xf numFmtId="0" fontId="6" fillId="0" borderId="17" xfId="1" applyFill="1" applyBorder="1" applyAlignment="1">
      <alignment horizontal="center" vertical="center"/>
    </xf>
    <xf numFmtId="0" fontId="5" fillId="2" borderId="0"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11" xfId="0" applyFont="1" applyFill="1" applyBorder="1" applyAlignment="1">
      <alignment horizontal="center" vertical="center"/>
    </xf>
    <xf numFmtId="0" fontId="2" fillId="13" borderId="0" xfId="0" applyFont="1" applyFill="1" applyBorder="1"/>
    <xf numFmtId="0" fontId="2" fillId="13" borderId="0" xfId="0" applyFont="1" applyFill="1"/>
    <xf numFmtId="0" fontId="28" fillId="13" borderId="61" xfId="0" applyFont="1" applyFill="1" applyBorder="1" applyAlignment="1">
      <alignment vertical="center"/>
    </xf>
    <xf numFmtId="0" fontId="2" fillId="13" borderId="60" xfId="0" applyFont="1" applyFill="1" applyBorder="1"/>
    <xf numFmtId="0" fontId="2" fillId="13" borderId="23" xfId="0" applyFont="1" applyFill="1" applyBorder="1"/>
    <xf numFmtId="0" fontId="2" fillId="0" borderId="63" xfId="0" applyFont="1" applyBorder="1"/>
    <xf numFmtId="0" fontId="28" fillId="13" borderId="60" xfId="0" applyFont="1" applyFill="1" applyBorder="1" applyAlignment="1">
      <alignment vertical="center"/>
    </xf>
    <xf numFmtId="0" fontId="1" fillId="6" borderId="0" xfId="0" applyFont="1" applyFill="1" applyBorder="1" applyAlignment="1">
      <alignment horizontal="left" wrapText="1" indent="1"/>
    </xf>
    <xf numFmtId="0" fontId="2" fillId="6" borderId="0" xfId="0" applyFont="1" applyFill="1" applyBorder="1" applyAlignment="1">
      <alignment horizontal="left" indent="1"/>
    </xf>
    <xf numFmtId="0" fontId="1" fillId="0" borderId="0" xfId="0" applyFont="1" applyFill="1"/>
    <xf numFmtId="0" fontId="1" fillId="0" borderId="0" xfId="0" applyFont="1" applyFill="1"/>
    <xf numFmtId="0" fontId="13" fillId="0" borderId="0" xfId="0" applyNumberFormat="1" applyFont="1" applyBorder="1" applyAlignment="1">
      <alignment horizontal="left" vertical="center" indent="1"/>
    </xf>
    <xf numFmtId="0" fontId="13" fillId="0" borderId="0" xfId="0" applyFont="1" applyBorder="1" applyAlignment="1">
      <alignment horizontal="left" vertical="center" indent="1"/>
    </xf>
    <xf numFmtId="0" fontId="14" fillId="7" borderId="0" xfId="0" applyFont="1" applyFill="1" applyAlignment="1">
      <alignment horizontal="center"/>
    </xf>
    <xf numFmtId="0" fontId="2" fillId="6" borderId="0" xfId="0" applyFont="1" applyFill="1" applyBorder="1" applyAlignment="1">
      <alignment wrapText="1"/>
    </xf>
    <xf numFmtId="0" fontId="1" fillId="6" borderId="0" xfId="0" applyFont="1" applyFill="1" applyBorder="1" applyAlignment="1">
      <alignment horizontal="left" wrapText="1" indent="1"/>
    </xf>
    <xf numFmtId="0" fontId="1" fillId="0" borderId="0" xfId="0" applyFont="1" applyAlignment="1"/>
    <xf numFmtId="0" fontId="1" fillId="3" borderId="0" xfId="0" applyFont="1" applyFill="1" applyBorder="1" applyAlignment="1"/>
    <xf numFmtId="0" fontId="1" fillId="6" borderId="0" xfId="0" applyFont="1" applyFill="1" applyAlignment="1"/>
    <xf numFmtId="0" fontId="1" fillId="6" borderId="0" xfId="0" applyFont="1" applyFill="1" applyBorder="1" applyAlignment="1">
      <alignment horizontal="left" wrapText="1"/>
    </xf>
    <xf numFmtId="0" fontId="1" fillId="0" borderId="0" xfId="0" applyFont="1" applyAlignment="1">
      <alignment horizontal="left" wrapText="1"/>
    </xf>
    <xf numFmtId="0" fontId="1" fillId="3" borderId="0" xfId="0" applyFont="1" applyFill="1" applyBorder="1" applyAlignment="1">
      <alignment horizontal="left" wrapText="1"/>
    </xf>
    <xf numFmtId="0" fontId="1" fillId="6" borderId="0" xfId="0" applyFont="1" applyFill="1" applyAlignment="1">
      <alignment horizontal="left" wrapText="1"/>
    </xf>
    <xf numFmtId="0" fontId="1" fillId="6" borderId="0" xfId="0" applyFont="1" applyFill="1" applyBorder="1" applyAlignment="1">
      <alignment horizontal="left" wrapText="1" indent="1"/>
    </xf>
    <xf numFmtId="0" fontId="1" fillId="0" borderId="0" xfId="0" applyFont="1" applyFill="1"/>
    <xf numFmtId="0" fontId="13" fillId="0" borderId="0" xfId="0" applyNumberFormat="1" applyFont="1" applyBorder="1" applyAlignment="1">
      <alignment horizontal="left" vertical="center" indent="1"/>
    </xf>
    <xf numFmtId="0" fontId="13" fillId="0" borderId="0" xfId="0" applyFont="1" applyBorder="1" applyAlignment="1">
      <alignment horizontal="left" vertical="center" indent="1"/>
    </xf>
    <xf numFmtId="0" fontId="14" fillId="7" borderId="0" xfId="0" applyFont="1" applyFill="1" applyAlignment="1">
      <alignment horizontal="center"/>
    </xf>
    <xf numFmtId="0" fontId="13" fillId="6" borderId="11" xfId="0" applyFont="1" applyFill="1" applyBorder="1" applyAlignment="1">
      <alignment vertical="center"/>
    </xf>
    <xf numFmtId="0" fontId="13" fillId="4" borderId="11" xfId="0" applyFont="1" applyFill="1" applyBorder="1" applyAlignment="1">
      <alignment vertical="center"/>
    </xf>
    <xf numFmtId="0" fontId="13" fillId="6" borderId="26" xfId="0" applyFont="1" applyFill="1" applyBorder="1" applyAlignment="1">
      <alignment horizontal="center" vertical="center" wrapText="1"/>
    </xf>
    <xf numFmtId="49" fontId="1" fillId="0" borderId="0" xfId="0" applyNumberFormat="1" applyFont="1" applyFill="1" applyBorder="1" applyAlignment="1">
      <alignment horizontal="left"/>
    </xf>
    <xf numFmtId="0" fontId="13" fillId="0" borderId="66" xfId="0" applyFont="1" applyBorder="1"/>
    <xf numFmtId="0" fontId="15" fillId="0" borderId="66" xfId="0" applyFont="1" applyBorder="1"/>
    <xf numFmtId="0" fontId="13" fillId="0" borderId="67" xfId="0" applyFont="1" applyBorder="1"/>
    <xf numFmtId="0" fontId="1" fillId="6" borderId="0" xfId="0" applyFont="1" applyFill="1" applyBorder="1" applyAlignment="1">
      <alignment horizontal="left" wrapText="1" indent="1"/>
    </xf>
    <xf numFmtId="0" fontId="24" fillId="6" borderId="0" xfId="0" applyFont="1" applyFill="1" applyBorder="1"/>
    <xf numFmtId="0" fontId="1" fillId="0" borderId="0" xfId="0" applyFont="1" applyFill="1" applyBorder="1" applyAlignment="1">
      <alignment horizontal="center"/>
    </xf>
    <xf numFmtId="0" fontId="11" fillId="4" borderId="0" xfId="0" applyFont="1" applyFill="1" applyBorder="1" applyAlignment="1">
      <alignment horizontal="left" vertical="center" wrapText="1"/>
    </xf>
    <xf numFmtId="0" fontId="8" fillId="4" borderId="0" xfId="0" applyFont="1" applyFill="1" applyBorder="1" applyAlignment="1">
      <alignment horizontal="left" vertical="top" wrapText="1"/>
    </xf>
    <xf numFmtId="0" fontId="11" fillId="4" borderId="0" xfId="0" applyFont="1" applyFill="1" applyBorder="1" applyAlignment="1">
      <alignment horizontal="left" vertical="top" wrapText="1"/>
    </xf>
    <xf numFmtId="0" fontId="8" fillId="6" borderId="0" xfId="2" applyFont="1" applyFill="1" applyBorder="1" applyAlignment="1">
      <alignment horizontal="left" vertical="center" wrapText="1" indent="1"/>
    </xf>
    <xf numFmtId="0" fontId="1" fillId="4" borderId="0" xfId="0" applyFont="1" applyFill="1" applyBorder="1" applyAlignment="1">
      <alignment horizontal="left" vertical="center" wrapText="1" indent="1"/>
    </xf>
    <xf numFmtId="0" fontId="7" fillId="4" borderId="0" xfId="0" applyFont="1" applyFill="1" applyBorder="1" applyAlignment="1">
      <alignment horizontal="left" wrapText="1" indent="1"/>
    </xf>
    <xf numFmtId="0" fontId="7" fillId="6" borderId="0" xfId="0" applyFont="1" applyFill="1" applyBorder="1" applyAlignment="1">
      <alignment horizontal="center" vertical="center" wrapText="1"/>
    </xf>
    <xf numFmtId="0" fontId="9" fillId="4" borderId="0" xfId="0" applyFont="1" applyFill="1" applyBorder="1" applyAlignment="1">
      <alignment horizontal="left" vertical="top" wrapText="1"/>
    </xf>
    <xf numFmtId="0" fontId="30" fillId="4" borderId="0" xfId="0" applyFont="1" applyFill="1" applyBorder="1" applyAlignment="1">
      <alignment horizontal="left" wrapText="1"/>
    </xf>
    <xf numFmtId="0" fontId="31" fillId="5" borderId="0" xfId="0" applyFont="1" applyFill="1" applyBorder="1" applyAlignment="1">
      <alignment horizontal="left" vertical="center" wrapText="1"/>
    </xf>
    <xf numFmtId="14" fontId="31" fillId="5" borderId="0" xfId="0" applyNumberFormat="1" applyFont="1" applyFill="1" applyBorder="1" applyAlignment="1">
      <alignment horizontal="left" vertical="center" wrapText="1"/>
    </xf>
    <xf numFmtId="0" fontId="8" fillId="5" borderId="0" xfId="0" applyFont="1" applyFill="1" applyBorder="1" applyAlignment="1">
      <alignment horizontal="left" vertical="center" wrapText="1"/>
    </xf>
    <xf numFmtId="0" fontId="21" fillId="6" borderId="0" xfId="0" applyFont="1" applyFill="1" applyBorder="1" applyAlignment="1">
      <alignment horizontal="left" vertical="center" wrapText="1"/>
    </xf>
    <xf numFmtId="0" fontId="1" fillId="6" borderId="0" xfId="0" applyFont="1" applyFill="1" applyBorder="1" applyAlignment="1">
      <alignment horizontal="left" wrapText="1"/>
    </xf>
    <xf numFmtId="0" fontId="1" fillId="0" borderId="0" xfId="0" applyFont="1" applyFill="1" applyBorder="1" applyAlignment="1">
      <alignment horizontal="left" vertical="center" wrapText="1" indent="1"/>
    </xf>
    <xf numFmtId="0" fontId="1" fillId="4" borderId="0" xfId="0" applyFont="1" applyFill="1" applyBorder="1" applyAlignment="1">
      <alignment horizontal="center" vertical="top" wrapText="1"/>
    </xf>
    <xf numFmtId="0" fontId="2" fillId="4" borderId="0" xfId="0" applyFont="1" applyFill="1" applyBorder="1" applyAlignment="1">
      <alignment horizontal="left" vertical="top" wrapText="1" indent="1"/>
    </xf>
    <xf numFmtId="0" fontId="1" fillId="0" borderId="5" xfId="0" applyFont="1" applyFill="1" applyBorder="1" applyAlignment="1">
      <alignment horizontal="left" vertical="center" wrapText="1"/>
    </xf>
    <xf numFmtId="0" fontId="1" fillId="4" borderId="0" xfId="0" applyFont="1" applyFill="1" applyBorder="1" applyAlignment="1">
      <alignment horizontal="left" indent="1"/>
    </xf>
    <xf numFmtId="0" fontId="1" fillId="0" borderId="4" xfId="0" applyFont="1" applyFill="1" applyBorder="1" applyAlignment="1">
      <alignment horizontal="left" vertical="center" wrapText="1"/>
    </xf>
    <xf numFmtId="0" fontId="1" fillId="0" borderId="7" xfId="0" applyFont="1" applyFill="1" applyBorder="1" applyAlignment="1">
      <alignment horizontal="left" vertical="center" wrapText="1"/>
    </xf>
    <xf numFmtId="0" fontId="2" fillId="4" borderId="0" xfId="0" applyFont="1" applyFill="1" applyBorder="1" applyAlignment="1">
      <alignment horizontal="left" indent="1"/>
    </xf>
    <xf numFmtId="0" fontId="1" fillId="5" borderId="5" xfId="0" applyFont="1" applyFill="1" applyBorder="1" applyAlignment="1">
      <alignment horizontal="left" vertical="center" wrapText="1"/>
    </xf>
    <xf numFmtId="0" fontId="2" fillId="4" borderId="2" xfId="0" applyFont="1" applyFill="1" applyBorder="1" applyAlignment="1">
      <alignment horizontal="left"/>
    </xf>
    <xf numFmtId="49" fontId="1" fillId="5" borderId="3" xfId="0" applyNumberFormat="1" applyFont="1" applyFill="1" applyBorder="1" applyAlignment="1">
      <alignment horizontal="left" vertical="center" wrapText="1"/>
    </xf>
    <xf numFmtId="0" fontId="1" fillId="5" borderId="4" xfId="0" applyFont="1" applyFill="1" applyBorder="1" applyAlignment="1">
      <alignment horizontal="left" vertical="center"/>
    </xf>
    <xf numFmtId="49" fontId="2" fillId="6" borderId="2" xfId="0" applyNumberFormat="1" applyFont="1" applyFill="1" applyBorder="1" applyAlignment="1">
      <alignment horizontal="center"/>
    </xf>
    <xf numFmtId="0" fontId="0" fillId="6" borderId="2" xfId="0" applyFill="1" applyBorder="1" applyAlignment="1">
      <alignment horizontal="center"/>
    </xf>
    <xf numFmtId="0" fontId="1" fillId="6" borderId="0" xfId="0" applyFont="1" applyFill="1" applyBorder="1" applyAlignment="1">
      <alignment horizontal="left" wrapText="1" indent="1"/>
    </xf>
    <xf numFmtId="0" fontId="2" fillId="6" borderId="0" xfId="0" applyFont="1" applyFill="1" applyBorder="1" applyAlignment="1">
      <alignment horizontal="left" indent="1"/>
    </xf>
    <xf numFmtId="0" fontId="1" fillId="5" borderId="7" xfId="0" applyFont="1" applyFill="1" applyBorder="1" applyAlignment="1">
      <alignment horizontal="left" vertical="center"/>
    </xf>
    <xf numFmtId="0" fontId="1" fillId="6" borderId="0" xfId="0" applyFont="1" applyFill="1" applyBorder="1" applyAlignment="1">
      <alignment horizontal="left" vertical="top" wrapText="1"/>
    </xf>
    <xf numFmtId="0" fontId="2" fillId="6" borderId="0" xfId="0" applyFont="1" applyFill="1" applyBorder="1" applyAlignment="1">
      <alignment horizontal="left" vertical="center" wrapText="1"/>
    </xf>
    <xf numFmtId="0" fontId="1" fillId="6" borderId="0" xfId="0" applyFont="1" applyFill="1" applyAlignment="1">
      <alignment horizontal="left" vertical="center" wrapText="1"/>
    </xf>
    <xf numFmtId="0" fontId="2" fillId="6" borderId="65" xfId="0" applyFont="1" applyFill="1" applyBorder="1" applyAlignment="1">
      <alignment horizontal="left" vertical="top"/>
    </xf>
    <xf numFmtId="0" fontId="1" fillId="6" borderId="64" xfId="0" applyFont="1" applyFill="1" applyBorder="1" applyAlignment="1">
      <alignment horizontal="left" vertical="center"/>
    </xf>
    <xf numFmtId="0" fontId="1" fillId="6" borderId="64" xfId="0" applyFont="1" applyFill="1" applyBorder="1" applyAlignment="1">
      <alignment vertical="center" wrapText="1"/>
    </xf>
    <xf numFmtId="0" fontId="1" fillId="6" borderId="64" xfId="0" applyFont="1" applyFill="1" applyBorder="1" applyAlignment="1">
      <alignment horizontal="left" vertical="center" wrapText="1"/>
    </xf>
    <xf numFmtId="0" fontId="2" fillId="6" borderId="38" xfId="0" applyFont="1" applyFill="1" applyBorder="1" applyAlignment="1">
      <alignment horizontal="left" vertical="top"/>
    </xf>
    <xf numFmtId="0" fontId="8" fillId="6" borderId="0" xfId="1" applyFont="1" applyFill="1" applyBorder="1" applyAlignment="1">
      <alignment horizontal="left" wrapText="1"/>
    </xf>
    <xf numFmtId="0" fontId="13" fillId="4" borderId="11" xfId="0" applyFont="1" applyFill="1" applyBorder="1" applyAlignment="1">
      <alignment horizontal="left" vertical="center"/>
    </xf>
    <xf numFmtId="0" fontId="0" fillId="0" borderId="11" xfId="0" applyBorder="1" applyAlignment="1">
      <alignment horizontal="left" vertical="center"/>
    </xf>
    <xf numFmtId="0" fontId="13" fillId="6" borderId="27" xfId="0" applyFont="1" applyFill="1" applyBorder="1" applyAlignment="1">
      <alignment horizontal="left" vertical="center" indent="1"/>
    </xf>
    <xf numFmtId="0" fontId="13" fillId="4" borderId="25" xfId="0" applyFont="1" applyFill="1" applyBorder="1" applyAlignment="1">
      <alignment horizontal="left" vertical="center"/>
    </xf>
    <xf numFmtId="0" fontId="0" fillId="0" borderId="25" xfId="0" applyBorder="1" applyAlignment="1">
      <alignment horizontal="left" vertical="center"/>
    </xf>
    <xf numFmtId="0" fontId="13" fillId="6" borderId="11" xfId="0" applyFont="1" applyFill="1" applyBorder="1" applyAlignment="1">
      <alignment horizontal="left" vertical="center"/>
    </xf>
    <xf numFmtId="0" fontId="13" fillId="6" borderId="36" xfId="0" applyFont="1" applyFill="1" applyBorder="1" applyAlignment="1">
      <alignment horizontal="center" vertical="center" wrapText="1"/>
    </xf>
    <xf numFmtId="0" fontId="14" fillId="0" borderId="34" xfId="0" applyFont="1" applyBorder="1" applyAlignment="1">
      <alignment horizontal="center" vertical="center"/>
    </xf>
    <xf numFmtId="0" fontId="14" fillId="0" borderId="2" xfId="0" applyFont="1" applyBorder="1" applyAlignment="1">
      <alignment horizontal="center" vertical="center"/>
    </xf>
    <xf numFmtId="0" fontId="13" fillId="6" borderId="25" xfId="0" applyFont="1" applyFill="1" applyBorder="1" applyAlignment="1">
      <alignment horizontal="left" vertical="center" wrapText="1" indent="1"/>
    </xf>
    <xf numFmtId="0" fontId="13" fillId="4" borderId="32" xfId="0" applyFont="1" applyFill="1" applyBorder="1" applyAlignment="1">
      <alignment horizontal="left" vertical="center" wrapText="1"/>
    </xf>
    <xf numFmtId="0" fontId="13" fillId="4" borderId="32" xfId="0" applyFont="1" applyFill="1" applyBorder="1" applyAlignment="1">
      <alignment horizontal="left" vertical="center"/>
    </xf>
    <xf numFmtId="0" fontId="13" fillId="4" borderId="0" xfId="0" applyFont="1" applyFill="1" applyBorder="1" applyAlignment="1">
      <alignment horizontal="left" vertical="center"/>
    </xf>
    <xf numFmtId="0" fontId="13" fillId="4" borderId="31" xfId="0" applyFont="1" applyFill="1" applyBorder="1" applyAlignment="1">
      <alignment horizontal="left" vertical="center"/>
    </xf>
    <xf numFmtId="0" fontId="13" fillId="6" borderId="32" xfId="0" applyFont="1" applyFill="1" applyBorder="1" applyAlignment="1">
      <alignment horizontal="left" vertical="center" wrapText="1"/>
    </xf>
    <xf numFmtId="0" fontId="13" fillId="6" borderId="32" xfId="0" applyFont="1" applyFill="1" applyBorder="1" applyAlignment="1">
      <alignment horizontal="left" vertical="center"/>
    </xf>
    <xf numFmtId="0" fontId="13" fillId="6" borderId="0" xfId="0" applyFont="1" applyFill="1" applyBorder="1" applyAlignment="1">
      <alignment horizontal="left" vertical="center"/>
    </xf>
    <xf numFmtId="0" fontId="13" fillId="6" borderId="31" xfId="0" applyFont="1" applyFill="1" applyBorder="1" applyAlignment="1">
      <alignment horizontal="left" vertical="center"/>
    </xf>
    <xf numFmtId="0" fontId="13" fillId="6" borderId="0" xfId="0" applyFont="1" applyFill="1" applyBorder="1" applyAlignment="1">
      <alignment horizontal="left" vertical="center" wrapText="1"/>
    </xf>
    <xf numFmtId="0" fontId="13" fillId="6" borderId="11" xfId="0" applyFont="1" applyFill="1" applyBorder="1" applyAlignment="1">
      <alignment horizontal="left" vertical="center" wrapText="1"/>
    </xf>
    <xf numFmtId="0" fontId="1" fillId="0" borderId="0" xfId="0" applyFont="1" applyFill="1"/>
    <xf numFmtId="0" fontId="13" fillId="6" borderId="36" xfId="0" applyFont="1" applyFill="1" applyBorder="1" applyAlignment="1">
      <alignment horizontal="left" vertical="center" wrapText="1" indent="1"/>
    </xf>
    <xf numFmtId="0" fontId="14" fillId="0" borderId="35" xfId="0" applyFont="1" applyBorder="1" applyAlignment="1">
      <alignment horizontal="center" vertical="center"/>
    </xf>
    <xf numFmtId="0" fontId="5" fillId="2" borderId="1" xfId="0" applyFont="1" applyFill="1" applyBorder="1" applyAlignment="1">
      <alignment horizontal="center" vertical="center"/>
    </xf>
    <xf numFmtId="0" fontId="13" fillId="0" borderId="14" xfId="0" applyFont="1" applyBorder="1" applyAlignment="1">
      <alignment horizontal="left" vertical="center" wrapText="1" indent="1"/>
    </xf>
    <xf numFmtId="0" fontId="13" fillId="0" borderId="14" xfId="0" applyFont="1" applyBorder="1" applyAlignment="1">
      <alignment horizontal="left" vertical="center" indent="1"/>
    </xf>
    <xf numFmtId="0" fontId="13" fillId="0" borderId="15" xfId="0" applyFont="1" applyBorder="1" applyAlignment="1">
      <alignment horizontal="left" vertical="center" indent="1"/>
    </xf>
    <xf numFmtId="0" fontId="13" fillId="0" borderId="0" xfId="0" applyNumberFormat="1" applyFont="1" applyBorder="1" applyAlignment="1">
      <alignment horizontal="left" vertical="center" wrapText="1" indent="1"/>
    </xf>
    <xf numFmtId="0" fontId="13" fillId="0" borderId="0" xfId="0" applyNumberFormat="1" applyFont="1" applyBorder="1" applyAlignment="1">
      <alignment horizontal="left" vertical="center" indent="1"/>
    </xf>
    <xf numFmtId="0" fontId="13" fillId="0" borderId="16" xfId="0" applyNumberFormat="1" applyFont="1" applyBorder="1" applyAlignment="1">
      <alignment horizontal="left" vertical="center" indent="1"/>
    </xf>
    <xf numFmtId="0" fontId="13" fillId="0" borderId="0" xfId="0" applyFont="1" applyBorder="1" applyAlignment="1">
      <alignment horizontal="left" vertical="center" wrapText="1" indent="1"/>
    </xf>
    <xf numFmtId="0" fontId="13" fillId="0" borderId="0" xfId="0" applyFont="1" applyBorder="1" applyAlignment="1">
      <alignment horizontal="left" vertical="center" indent="1"/>
    </xf>
    <xf numFmtId="0" fontId="13" fillId="0" borderId="16" xfId="0" applyFont="1" applyBorder="1" applyAlignment="1">
      <alignment horizontal="left" vertical="center" indent="1"/>
    </xf>
    <xf numFmtId="0" fontId="13" fillId="6" borderId="0" xfId="0" applyFont="1" applyFill="1" applyAlignment="1">
      <alignment horizontal="center" vertical="center"/>
    </xf>
    <xf numFmtId="0" fontId="13" fillId="6" borderId="26" xfId="0" applyFont="1" applyFill="1" applyBorder="1" applyAlignment="1">
      <alignment horizontal="center" vertical="center"/>
    </xf>
    <xf numFmtId="0" fontId="13" fillId="6" borderId="32" xfId="0" applyFont="1" applyFill="1" applyBorder="1" applyAlignment="1">
      <alignment horizontal="left" vertical="center" wrapText="1" indent="1"/>
    </xf>
    <xf numFmtId="0" fontId="13" fillId="6" borderId="32" xfId="0" applyFont="1" applyFill="1" applyBorder="1" applyAlignment="1">
      <alignment horizontal="left" vertical="center" indent="1"/>
    </xf>
    <xf numFmtId="0" fontId="13" fillId="6" borderId="0" xfId="0" applyFont="1" applyFill="1" applyBorder="1" applyAlignment="1">
      <alignment horizontal="left" vertical="center" indent="1"/>
    </xf>
    <xf numFmtId="0" fontId="13" fillId="6" borderId="11" xfId="0" applyFont="1" applyFill="1" applyBorder="1" applyAlignment="1">
      <alignment horizontal="left" vertical="center" indent="1"/>
    </xf>
    <xf numFmtId="0" fontId="13" fillId="6" borderId="30" xfId="0" applyFont="1" applyFill="1" applyBorder="1" applyAlignment="1">
      <alignment horizontal="center" vertical="center"/>
    </xf>
    <xf numFmtId="0" fontId="13" fillId="6" borderId="11" xfId="0" applyFont="1" applyFill="1" applyBorder="1" applyAlignment="1">
      <alignment horizontal="left" vertical="center" wrapText="1" indent="1"/>
    </xf>
    <xf numFmtId="0" fontId="14" fillId="0" borderId="34" xfId="0" applyFont="1" applyBorder="1" applyAlignment="1">
      <alignment horizontal="left" vertical="center" indent="1"/>
    </xf>
    <xf numFmtId="0" fontId="14" fillId="0" borderId="2" xfId="0" applyFont="1" applyBorder="1" applyAlignment="1">
      <alignment horizontal="left" vertical="center" indent="1"/>
    </xf>
    <xf numFmtId="0" fontId="14" fillId="0" borderId="35" xfId="0" applyFont="1" applyBorder="1" applyAlignment="1">
      <alignment horizontal="left" vertical="center" indent="1"/>
    </xf>
    <xf numFmtId="0" fontId="14" fillId="7" borderId="0" xfId="0" applyFont="1" applyFill="1" applyAlignment="1">
      <alignment horizontal="center"/>
    </xf>
    <xf numFmtId="0" fontId="13" fillId="6" borderId="47" xfId="0" applyFont="1" applyFill="1" applyBorder="1" applyAlignment="1">
      <alignment horizontal="center" vertical="center"/>
    </xf>
    <xf numFmtId="0" fontId="13" fillId="6" borderId="37" xfId="0" applyFont="1" applyFill="1" applyBorder="1" applyAlignment="1">
      <alignment horizontal="left" vertical="center" wrapText="1"/>
    </xf>
    <xf numFmtId="0" fontId="13" fillId="6" borderId="37" xfId="0" applyFont="1" applyFill="1" applyBorder="1" applyAlignment="1">
      <alignment horizontal="left" vertical="center"/>
    </xf>
    <xf numFmtId="0" fontId="13" fillId="6" borderId="37" xfId="0" applyFont="1" applyFill="1" applyBorder="1" applyAlignment="1">
      <alignment horizontal="left" vertical="center" wrapText="1" indent="1"/>
    </xf>
    <xf numFmtId="0" fontId="13" fillId="6" borderId="37" xfId="0" applyFont="1" applyFill="1" applyBorder="1" applyAlignment="1">
      <alignment horizontal="left" vertical="center" indent="1"/>
    </xf>
    <xf numFmtId="0" fontId="13" fillId="6" borderId="31" xfId="0" applyFont="1" applyFill="1" applyBorder="1" applyAlignment="1">
      <alignment horizontal="left" vertical="center" indent="1"/>
    </xf>
    <xf numFmtId="0" fontId="13" fillId="6" borderId="31" xfId="0" applyFont="1" applyFill="1" applyBorder="1" applyAlignment="1">
      <alignment horizontal="left" vertical="center" wrapText="1" indent="1"/>
    </xf>
    <xf numFmtId="0" fontId="5" fillId="2" borderId="32" xfId="0" applyFont="1" applyFill="1" applyBorder="1" applyAlignment="1">
      <alignment horizontal="center" vertical="center"/>
    </xf>
    <xf numFmtId="0" fontId="5" fillId="2" borderId="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12" xfId="0" applyFont="1" applyFill="1" applyBorder="1" applyAlignment="1">
      <alignment horizontal="center" vertical="center"/>
    </xf>
    <xf numFmtId="0" fontId="5" fillId="2" borderId="11" xfId="0" applyFont="1" applyFill="1" applyBorder="1" applyAlignment="1">
      <alignment horizontal="center" vertical="center"/>
    </xf>
    <xf numFmtId="0" fontId="13" fillId="4" borderId="25" xfId="0" applyFont="1" applyFill="1" applyBorder="1" applyAlignment="1">
      <alignment horizontal="left" vertical="center" wrapText="1" indent="1"/>
    </xf>
    <xf numFmtId="0" fontId="25" fillId="4" borderId="25" xfId="0" applyFont="1" applyFill="1" applyBorder="1" applyAlignment="1">
      <alignment horizontal="left" vertical="center" wrapText="1" indent="1"/>
    </xf>
    <xf numFmtId="0" fontId="13" fillId="6" borderId="33" xfId="0" applyFont="1" applyFill="1" applyBorder="1" applyAlignment="1">
      <alignment horizontal="left" vertical="center" wrapText="1" indent="1"/>
    </xf>
    <xf numFmtId="0" fontId="13" fillId="6" borderId="26" xfId="0" applyFont="1" applyFill="1" applyBorder="1" applyAlignment="1">
      <alignment horizontal="left" vertical="center" wrapText="1" indent="1"/>
    </xf>
    <xf numFmtId="0" fontId="13" fillId="6" borderId="33" xfId="0" applyFont="1" applyFill="1" applyBorder="1" applyAlignment="1">
      <alignment horizontal="center" vertical="center"/>
    </xf>
    <xf numFmtId="0" fontId="13" fillId="4" borderId="33" xfId="0" applyFont="1" applyFill="1" applyBorder="1" applyAlignment="1">
      <alignment horizontal="left" vertical="center" wrapText="1" indent="1"/>
    </xf>
    <xf numFmtId="0" fontId="25" fillId="4" borderId="33" xfId="0" applyFont="1" applyFill="1" applyBorder="1" applyAlignment="1">
      <alignment horizontal="left" vertical="center" wrapText="1" indent="1"/>
    </xf>
    <xf numFmtId="0" fontId="13" fillId="4" borderId="31" xfId="0" applyFont="1" applyFill="1" applyBorder="1" applyAlignment="1">
      <alignment horizontal="left" vertical="center" wrapText="1" indent="1"/>
    </xf>
    <xf numFmtId="0" fontId="13" fillId="4" borderId="32" xfId="0" applyFont="1" applyFill="1" applyBorder="1" applyAlignment="1">
      <alignment horizontal="left" vertical="center" wrapText="1" indent="1"/>
    </xf>
    <xf numFmtId="0" fontId="13" fillId="4" borderId="32" xfId="0" applyFont="1" applyFill="1" applyBorder="1" applyAlignment="1">
      <alignment horizontal="left" vertical="center" indent="1"/>
    </xf>
    <xf numFmtId="0" fontId="13" fillId="4" borderId="0" xfId="0" applyFont="1" applyFill="1" applyBorder="1" applyAlignment="1">
      <alignment horizontal="left" vertical="center" indent="1"/>
    </xf>
    <xf numFmtId="0" fontId="13" fillId="4" borderId="31" xfId="0" applyFont="1" applyFill="1" applyBorder="1" applyAlignment="1">
      <alignment horizontal="left" vertical="center" indent="1"/>
    </xf>
    <xf numFmtId="0" fontId="13" fillId="6" borderId="26" xfId="0" applyFont="1" applyFill="1" applyBorder="1" applyAlignment="1">
      <alignment horizontal="center" vertical="center" wrapText="1"/>
    </xf>
    <xf numFmtId="0" fontId="13" fillId="6" borderId="11" xfId="0" applyFont="1" applyFill="1" applyBorder="1" applyAlignment="1">
      <alignment horizontal="center" vertical="center"/>
    </xf>
    <xf numFmtId="0" fontId="14" fillId="0" borderId="9" xfId="0" applyFont="1" applyBorder="1" applyAlignment="1">
      <alignment horizontal="center" vertical="center"/>
    </xf>
    <xf numFmtId="0" fontId="14" fillId="0" borderId="0" xfId="0" applyFont="1" applyBorder="1" applyAlignment="1">
      <alignment horizontal="center" vertical="center"/>
    </xf>
    <xf numFmtId="0" fontId="13" fillId="6" borderId="27" xfId="0" applyFont="1" applyFill="1" applyBorder="1" applyAlignment="1">
      <alignment horizontal="left" vertical="center" wrapText="1" indent="1"/>
    </xf>
    <xf numFmtId="0" fontId="13" fillId="4" borderId="27" xfId="0" applyFont="1" applyFill="1" applyBorder="1" applyAlignment="1">
      <alignment horizontal="left" vertical="center" wrapText="1" indent="1"/>
    </xf>
    <xf numFmtId="0" fontId="25" fillId="4" borderId="27" xfId="0" applyFont="1" applyFill="1" applyBorder="1" applyAlignment="1">
      <alignment horizontal="left" vertical="center" wrapText="1" indent="1"/>
    </xf>
    <xf numFmtId="0" fontId="13" fillId="6" borderId="27" xfId="0" applyFont="1" applyFill="1" applyBorder="1" applyAlignment="1">
      <alignment horizontal="center" vertical="center"/>
    </xf>
    <xf numFmtId="0" fontId="13" fillId="4" borderId="26" xfId="0" applyFont="1" applyFill="1" applyBorder="1" applyAlignment="1">
      <alignment horizontal="left" vertical="center" wrapText="1" indent="1"/>
    </xf>
    <xf numFmtId="0" fontId="25" fillId="4" borderId="26" xfId="0" applyFont="1" applyFill="1" applyBorder="1" applyAlignment="1">
      <alignment horizontal="left" vertical="center" wrapText="1" indent="1"/>
    </xf>
    <xf numFmtId="0" fontId="13" fillId="4" borderId="0" xfId="0" applyFont="1" applyFill="1" applyBorder="1" applyAlignment="1">
      <alignment horizontal="left" vertical="center" wrapText="1" indent="1"/>
    </xf>
    <xf numFmtId="0" fontId="13" fillId="6" borderId="0" xfId="0" applyFont="1" applyFill="1" applyBorder="1" applyAlignment="1">
      <alignment horizontal="left" vertical="center" wrapText="1" indent="1"/>
    </xf>
    <xf numFmtId="0" fontId="13" fillId="6" borderId="12" xfId="0" applyFont="1" applyFill="1" applyBorder="1" applyAlignment="1">
      <alignment horizontal="left" vertical="center" wrapText="1"/>
    </xf>
    <xf numFmtId="0" fontId="13" fillId="6" borderId="12" xfId="0" applyFont="1" applyFill="1" applyBorder="1" applyAlignment="1">
      <alignment horizontal="left" vertical="center"/>
    </xf>
    <xf numFmtId="0" fontId="14" fillId="0" borderId="9" xfId="0" applyFont="1" applyBorder="1" applyAlignment="1">
      <alignment horizontal="left" vertical="center" indent="1"/>
    </xf>
    <xf numFmtId="0" fontId="14" fillId="0" borderId="0" xfId="0" applyFont="1" applyBorder="1" applyAlignment="1">
      <alignment horizontal="left" vertical="center" indent="1"/>
    </xf>
    <xf numFmtId="0" fontId="14" fillId="0" borderId="10" xfId="0" applyFont="1" applyBorder="1" applyAlignment="1">
      <alignment horizontal="left" vertical="center" indent="1"/>
    </xf>
    <xf numFmtId="0" fontId="14" fillId="0" borderId="10" xfId="0" applyFont="1" applyBorder="1" applyAlignment="1">
      <alignment horizontal="center" vertical="center"/>
    </xf>
    <xf numFmtId="0" fontId="13" fillId="4" borderId="12" xfId="0" applyFont="1" applyFill="1" applyBorder="1" applyAlignment="1">
      <alignment horizontal="left" vertical="center" wrapText="1"/>
    </xf>
    <xf numFmtId="0" fontId="13" fillId="4" borderId="12" xfId="0" applyFont="1" applyFill="1" applyBorder="1" applyAlignment="1">
      <alignment horizontal="left" vertical="center"/>
    </xf>
    <xf numFmtId="0" fontId="13" fillId="6" borderId="25" xfId="0" applyFont="1" applyFill="1" applyBorder="1" applyAlignment="1">
      <alignment horizontal="center" vertical="center"/>
    </xf>
    <xf numFmtId="0" fontId="13" fillId="6" borderId="30" xfId="0" applyFont="1" applyFill="1" applyBorder="1" applyAlignment="1">
      <alignment horizontal="left" vertical="center" wrapText="1" indent="1"/>
    </xf>
    <xf numFmtId="0" fontId="13" fillId="6" borderId="12" xfId="0" applyFont="1" applyFill="1" applyBorder="1" applyAlignment="1">
      <alignment horizontal="left" vertical="center" wrapText="1" indent="1"/>
    </xf>
    <xf numFmtId="0" fontId="13" fillId="6" borderId="12" xfId="0" applyFont="1" applyFill="1" applyBorder="1" applyAlignment="1">
      <alignment horizontal="left" vertical="center" indent="1"/>
    </xf>
    <xf numFmtId="0" fontId="13" fillId="4" borderId="59" xfId="0" applyFont="1" applyFill="1" applyBorder="1" applyAlignment="1">
      <alignment horizontal="left" vertical="center" wrapText="1" indent="1"/>
    </xf>
    <xf numFmtId="0" fontId="25" fillId="4" borderId="59" xfId="0" applyFont="1" applyFill="1" applyBorder="1" applyAlignment="1">
      <alignment horizontal="left" vertical="center" wrapText="1" indent="1"/>
    </xf>
    <xf numFmtId="0" fontId="13" fillId="6" borderId="12" xfId="0" applyFont="1" applyFill="1" applyBorder="1" applyAlignment="1">
      <alignment horizontal="center" vertical="center"/>
    </xf>
    <xf numFmtId="0" fontId="13" fillId="6" borderId="0" xfId="0" applyFont="1" applyFill="1" applyBorder="1" applyAlignment="1">
      <alignment horizontal="center" vertical="center"/>
    </xf>
    <xf numFmtId="0" fontId="13" fillId="6" borderId="40" xfId="0" applyFont="1" applyFill="1" applyBorder="1" applyAlignment="1">
      <alignment horizontal="left" vertical="center" wrapText="1" indent="1"/>
    </xf>
    <xf numFmtId="0" fontId="13" fillId="4" borderId="11" xfId="0" applyFont="1" applyFill="1" applyBorder="1" applyAlignment="1">
      <alignment horizontal="left" vertical="center" wrapText="1" indent="1"/>
    </xf>
    <xf numFmtId="0" fontId="25" fillId="4" borderId="11" xfId="0" applyFont="1" applyFill="1" applyBorder="1" applyAlignment="1">
      <alignment horizontal="left" vertical="center" wrapText="1" indent="1"/>
    </xf>
    <xf numFmtId="0" fontId="13" fillId="4" borderId="12" xfId="0" applyFont="1" applyFill="1" applyBorder="1" applyAlignment="1">
      <alignment horizontal="left" vertical="center" wrapText="1" indent="1"/>
    </xf>
    <xf numFmtId="0" fontId="13" fillId="4" borderId="12" xfId="0" applyFont="1" applyFill="1" applyBorder="1" applyAlignment="1">
      <alignment horizontal="left" vertical="center" indent="1"/>
    </xf>
    <xf numFmtId="0" fontId="14" fillId="6" borderId="25" xfId="0" applyFont="1" applyFill="1" applyBorder="1" applyAlignment="1">
      <alignment horizontal="center" vertical="center"/>
    </xf>
    <xf numFmtId="0" fontId="5" fillId="2" borderId="41" xfId="0" applyFont="1" applyFill="1" applyBorder="1" applyAlignment="1">
      <alignment horizontal="center" vertical="center"/>
    </xf>
    <xf numFmtId="0" fontId="13" fillId="6" borderId="41" xfId="0" applyFont="1" applyFill="1" applyBorder="1" applyAlignment="1">
      <alignment horizontal="left" vertical="center" wrapText="1" indent="1"/>
    </xf>
    <xf numFmtId="0" fontId="13" fillId="6" borderId="41" xfId="0" applyFont="1" applyFill="1" applyBorder="1" applyAlignment="1">
      <alignment horizontal="center" vertical="center"/>
    </xf>
    <xf numFmtId="0" fontId="13" fillId="6" borderId="41" xfId="0" applyFont="1" applyFill="1" applyBorder="1" applyAlignment="1">
      <alignment horizontal="left" vertical="center" indent="1"/>
    </xf>
    <xf numFmtId="0" fontId="13" fillId="6" borderId="41" xfId="0" applyFont="1" applyFill="1" applyBorder="1" applyAlignment="1">
      <alignment horizontal="left" vertical="center"/>
    </xf>
    <xf numFmtId="0" fontId="13" fillId="6" borderId="25" xfId="0" applyFont="1" applyFill="1" applyBorder="1" applyAlignment="1">
      <alignment horizontal="center" vertical="center" wrapText="1"/>
    </xf>
    <xf numFmtId="0" fontId="13" fillId="6" borderId="0" xfId="0" applyFont="1" applyFill="1" applyAlignment="1">
      <alignment horizontal="left" vertical="center" wrapText="1" indent="1"/>
    </xf>
    <xf numFmtId="0" fontId="14" fillId="6" borderId="0" xfId="0" applyFont="1" applyFill="1" applyAlignment="1">
      <alignment horizontal="left" vertical="center" indent="1"/>
    </xf>
    <xf numFmtId="0" fontId="14" fillId="6" borderId="11" xfId="0" applyFont="1" applyFill="1" applyBorder="1" applyAlignment="1">
      <alignment horizontal="left" vertical="center" indent="1"/>
    </xf>
    <xf numFmtId="0" fontId="13" fillId="6" borderId="62" xfId="0" applyFont="1" applyFill="1" applyBorder="1" applyAlignment="1">
      <alignment horizontal="center" vertical="center"/>
    </xf>
    <xf numFmtId="0" fontId="14" fillId="6" borderId="0" xfId="0" applyFont="1" applyFill="1" applyBorder="1" applyAlignment="1">
      <alignment horizontal="center" vertical="center"/>
    </xf>
    <xf numFmtId="0" fontId="14" fillId="6" borderId="11" xfId="0" applyFont="1" applyFill="1" applyBorder="1" applyAlignment="1">
      <alignment horizontal="center" vertical="center"/>
    </xf>
    <xf numFmtId="0" fontId="13" fillId="6" borderId="0" xfId="0" applyFont="1" applyFill="1" applyAlignment="1">
      <alignment horizontal="left" vertical="center" indent="1"/>
    </xf>
    <xf numFmtId="0" fontId="13" fillId="4" borderId="11" xfId="0" applyFont="1" applyFill="1" applyBorder="1" applyAlignment="1">
      <alignment horizontal="left" vertical="center" indent="1"/>
    </xf>
    <xf numFmtId="0" fontId="14" fillId="6" borderId="25" xfId="0" applyFont="1" applyFill="1" applyBorder="1" applyAlignment="1">
      <alignment horizontal="left" vertical="center" wrapText="1" indent="1"/>
    </xf>
    <xf numFmtId="0" fontId="25" fillId="4" borderId="0" xfId="0" applyFont="1" applyFill="1" applyBorder="1" applyAlignment="1">
      <alignment horizontal="left" vertical="center" wrapText="1" indent="1"/>
    </xf>
    <xf numFmtId="0" fontId="28" fillId="6" borderId="25" xfId="1" applyFont="1" applyFill="1" applyBorder="1" applyAlignment="1">
      <alignment horizontal="left" vertical="center" wrapText="1" indent="1"/>
    </xf>
    <xf numFmtId="0" fontId="14" fillId="4" borderId="11" xfId="0" applyFont="1" applyFill="1" applyBorder="1" applyAlignment="1">
      <alignment horizontal="left" vertical="center" indent="1"/>
    </xf>
    <xf numFmtId="0" fontId="28" fillId="4" borderId="27" xfId="1" applyFont="1" applyFill="1" applyBorder="1" applyAlignment="1">
      <alignment horizontal="left" vertical="center" wrapText="1" indent="1"/>
    </xf>
    <xf numFmtId="0" fontId="28" fillId="6" borderId="11" xfId="1" applyFont="1" applyFill="1" applyBorder="1" applyAlignment="1">
      <alignment horizontal="left" vertical="center" wrapText="1" indent="1"/>
    </xf>
    <xf numFmtId="0" fontId="28" fillId="6" borderId="27" xfId="1" applyFont="1" applyFill="1" applyBorder="1" applyAlignment="1">
      <alignment horizontal="left" vertical="center" wrapText="1" indent="1"/>
    </xf>
    <xf numFmtId="0" fontId="28" fillId="4" borderId="0" xfId="1" applyFont="1" applyFill="1" applyBorder="1" applyAlignment="1">
      <alignment horizontal="left" vertical="center" wrapText="1" indent="1"/>
    </xf>
    <xf numFmtId="0" fontId="0" fillId="0" borderId="11" xfId="0" applyBorder="1" applyAlignment="1">
      <alignment horizontal="left" vertical="center" wrapText="1"/>
    </xf>
    <xf numFmtId="0" fontId="13" fillId="4" borderId="27" xfId="0" applyFont="1" applyFill="1" applyBorder="1" applyAlignment="1">
      <alignment horizontal="left" vertical="center" wrapText="1"/>
    </xf>
    <xf numFmtId="0" fontId="0" fillId="0" borderId="27" xfId="0" applyBorder="1" applyAlignment="1">
      <alignment horizontal="left" vertical="center" wrapText="1"/>
    </xf>
    <xf numFmtId="0" fontId="13" fillId="4" borderId="25" xfId="0" applyFont="1" applyFill="1" applyBorder="1" applyAlignment="1">
      <alignment horizontal="left" vertical="center" wrapText="1"/>
    </xf>
    <xf numFmtId="0" fontId="0" fillId="0" borderId="25" xfId="0" applyBorder="1" applyAlignment="1">
      <alignment horizontal="left" vertical="center" wrapText="1"/>
    </xf>
    <xf numFmtId="0" fontId="13" fillId="4" borderId="11" xfId="0" applyFont="1" applyFill="1" applyBorder="1" applyAlignment="1">
      <alignment horizontal="left" vertical="center" wrapText="1"/>
    </xf>
    <xf numFmtId="0" fontId="13" fillId="6" borderId="27" xfId="0" applyFont="1" applyFill="1" applyBorder="1" applyAlignment="1">
      <alignment horizontal="left" vertical="center" wrapText="1"/>
    </xf>
    <xf numFmtId="0" fontId="13" fillId="4" borderId="30" xfId="0" applyFont="1" applyFill="1" applyBorder="1" applyAlignment="1">
      <alignment horizontal="left" vertical="center" wrapText="1" indent="1"/>
    </xf>
    <xf numFmtId="0" fontId="25" fillId="4" borderId="30" xfId="0" applyFont="1" applyFill="1" applyBorder="1" applyAlignment="1">
      <alignment horizontal="left" vertical="center" wrapText="1" indent="1"/>
    </xf>
    <xf numFmtId="0" fontId="13" fillId="6" borderId="11" xfId="0" applyFont="1" applyFill="1" applyBorder="1" applyAlignment="1">
      <alignment horizontal="left" vertical="center" wrapText="1" indent="2"/>
    </xf>
    <xf numFmtId="0" fontId="13" fillId="6" borderId="12" xfId="0" applyFont="1" applyFill="1" applyBorder="1" applyAlignment="1">
      <alignment horizontal="left" vertical="center" wrapText="1" indent="2"/>
    </xf>
    <xf numFmtId="0" fontId="13" fillId="6" borderId="12" xfId="0" applyFont="1" applyFill="1" applyBorder="1" applyAlignment="1">
      <alignment horizontal="left" vertical="center" indent="2"/>
    </xf>
    <xf numFmtId="0" fontId="13" fillId="6" borderId="11" xfId="0" applyFont="1" applyFill="1" applyBorder="1" applyAlignment="1">
      <alignment horizontal="left" vertical="center" indent="2"/>
    </xf>
    <xf numFmtId="0" fontId="13" fillId="4" borderId="12" xfId="0" applyFont="1" applyFill="1" applyBorder="1" applyAlignment="1">
      <alignment horizontal="left" vertical="center" wrapText="1" indent="2"/>
    </xf>
    <xf numFmtId="0" fontId="13" fillId="4" borderId="12" xfId="0" applyFont="1" applyFill="1" applyBorder="1" applyAlignment="1">
      <alignment horizontal="left" vertical="center" indent="2"/>
    </xf>
    <xf numFmtId="0" fontId="13" fillId="4" borderId="0" xfId="0" applyFont="1" applyFill="1" applyBorder="1" applyAlignment="1">
      <alignment horizontal="left" vertical="center" indent="2"/>
    </xf>
    <xf numFmtId="0" fontId="13" fillId="4" borderId="11" xfId="0" applyFont="1" applyFill="1" applyBorder="1" applyAlignment="1">
      <alignment horizontal="left" vertical="center" indent="2"/>
    </xf>
    <xf numFmtId="0" fontId="13" fillId="6" borderId="0" xfId="0" applyFont="1" applyFill="1" applyBorder="1" applyAlignment="1">
      <alignment horizontal="left" vertical="center" indent="2"/>
    </xf>
    <xf numFmtId="0" fontId="28" fillId="6" borderId="0" xfId="1" applyFont="1" applyFill="1" applyBorder="1" applyAlignment="1">
      <alignment horizontal="left" vertical="center" wrapText="1" indent="1"/>
    </xf>
    <xf numFmtId="0" fontId="13" fillId="6" borderId="30" xfId="0" applyFont="1" applyFill="1" applyBorder="1" applyAlignment="1">
      <alignment horizontal="center" vertical="center" wrapText="1"/>
    </xf>
    <xf numFmtId="0" fontId="13" fillId="6" borderId="1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28" fillId="6" borderId="26" xfId="1" applyFont="1" applyFill="1" applyBorder="1" applyAlignment="1">
      <alignment horizontal="left" vertical="center" wrapText="1" indent="1"/>
    </xf>
    <xf numFmtId="0" fontId="17" fillId="7" borderId="51" xfId="0" applyFont="1" applyFill="1" applyBorder="1" applyAlignment="1">
      <alignment horizontal="center" vertical="center"/>
    </xf>
    <xf numFmtId="0" fontId="17" fillId="7" borderId="42" xfId="0" applyFont="1" applyFill="1" applyBorder="1" applyAlignment="1">
      <alignment horizontal="center" vertical="center"/>
    </xf>
    <xf numFmtId="0" fontId="17" fillId="7" borderId="52" xfId="0" applyFont="1" applyFill="1" applyBorder="1" applyAlignment="1">
      <alignment horizontal="center" vertical="center"/>
    </xf>
    <xf numFmtId="0" fontId="17" fillId="7" borderId="55" xfId="0" applyFont="1" applyFill="1" applyBorder="1" applyAlignment="1">
      <alignment horizontal="center" vertical="center"/>
    </xf>
    <xf numFmtId="0" fontId="17" fillId="7" borderId="0" xfId="0" applyFont="1" applyFill="1" applyBorder="1" applyAlignment="1">
      <alignment horizontal="center" vertical="center"/>
    </xf>
    <xf numFmtId="0" fontId="13" fillId="14" borderId="25" xfId="0" applyFont="1" applyFill="1" applyBorder="1" applyAlignment="1">
      <alignment horizontal="left" vertical="center" wrapText="1" indent="1"/>
    </xf>
    <xf numFmtId="0" fontId="13" fillId="14" borderId="26" xfId="0" applyFont="1" applyFill="1" applyBorder="1" applyAlignment="1">
      <alignment horizontal="left" vertical="center" wrapText="1" indent="1"/>
    </xf>
    <xf numFmtId="0" fontId="25" fillId="14" borderId="26" xfId="0" applyFont="1" applyFill="1" applyBorder="1" applyAlignment="1">
      <alignment horizontal="left" vertical="center" wrapText="1" indent="1"/>
    </xf>
  </cellXfs>
  <cellStyles count="3">
    <cellStyle name="Link" xfId="1" builtinId="8"/>
    <cellStyle name="Schlecht" xfId="2" builtinId="27"/>
    <cellStyle name="Standard" xfId="0" builtinId="0"/>
  </cellStyles>
  <dxfs count="69">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dxf>
    <dxf>
      <font>
        <color rgb="FFFF0000"/>
      </font>
    </dxf>
  </dxfs>
  <tableStyles count="0" defaultTableStyle="TableStyleMedium2" defaultPivotStyle="PivotStyleLight16"/>
  <colors>
    <mruColors>
      <color rgb="FFE5E3E3"/>
      <color rgb="FF333399"/>
      <color rgb="FFF3F3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eetMetadata" Target="metadata.xml"/><Relationship Id="rId20" Type="http://schemas.openxmlformats.org/officeDocument/2006/relationships/worksheet" Target="worksheets/sheet20.xml"/><Relationship Id="rId41" Type="http://schemas.openxmlformats.org/officeDocument/2006/relationships/worksheet" Target="worksheets/sheet4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88937128999969"/>
          <c:y val="0.15672564681450343"/>
          <c:w val="0.4962538930298247"/>
          <c:h val="0.64395946980211249"/>
        </c:manualLayout>
      </c:layout>
      <c:radarChart>
        <c:radarStyle val="marker"/>
        <c:varyColors val="0"/>
        <c:ser>
          <c:idx val="0"/>
          <c:order val="0"/>
          <c:tx>
            <c:strRef>
              <c:f>Data!$D$2</c:f>
              <c:strCache>
                <c:ptCount val="1"/>
                <c:pt idx="0">
                  <c:v>Ist-Reifegrad</c:v>
                </c:pt>
              </c:strCache>
            </c:strRef>
          </c:tx>
          <c:spPr>
            <a:ln w="28575" cap="rnd">
              <a:solidFill>
                <a:schemeClr val="tx2"/>
              </a:solidFill>
              <a:round/>
            </a:ln>
            <a:effectLst/>
          </c:spPr>
          <c:marker>
            <c:symbol val="none"/>
          </c:marker>
          <c:cat>
            <c:multiLvlStrRef>
              <c:f>Data!$B$3:$C$24</c:f>
              <c:multiLvlStrCache>
                <c:ptCount val="22"/>
                <c:lvl>
                  <c:pt idx="0">
                    <c:v>Prozessinitierung</c:v>
                  </c:pt>
                  <c:pt idx="1">
                    <c:v>Informationsbeschaffung</c:v>
                  </c:pt>
                  <c:pt idx="2">
                    <c:v>Interne Zusammenarbeit</c:v>
                  </c:pt>
                  <c:pt idx="3">
                    <c:v>Externe Zusammenarbeit</c:v>
                  </c:pt>
                  <c:pt idx="4">
                    <c:v>Rechtskonformität</c:v>
                  </c:pt>
                  <c:pt idx="5">
                    <c:v>Qualitätssicherung</c:v>
                  </c:pt>
                  <c:pt idx="6">
                    <c:v>Dokumentationsstrukturierung</c:v>
                  </c:pt>
                  <c:pt idx="7">
                    <c:v>Variantenmanagement</c:v>
                  </c:pt>
                  <c:pt idx="8">
                    <c:v>Metadatenmanagement</c:v>
                  </c:pt>
                  <c:pt idx="9">
                    <c:v>Terminologiemanagement</c:v>
                  </c:pt>
                  <c:pt idx="10">
                    <c:v>Übersetzungsmanagement</c:v>
                  </c:pt>
                  <c:pt idx="11">
                    <c:v>Aktualität</c:v>
                  </c:pt>
                  <c:pt idx="12">
                    <c:v>Versionierung</c:v>
                  </c:pt>
                  <c:pt idx="13">
                    <c:v>Ablage und Archivierung</c:v>
                  </c:pt>
                  <c:pt idx="14">
                    <c:v>Publikation und Verwaltung</c:v>
                  </c:pt>
                  <c:pt idx="15">
                    <c:v>Zugriffsmanagement</c:v>
                  </c:pt>
                  <c:pt idx="16">
                    <c:v>Zugänglichkeit der Dokumentation</c:v>
                  </c:pt>
                  <c:pt idx="17">
                    <c:v>Kanäle und Plattformen</c:v>
                  </c:pt>
                  <c:pt idx="18">
                    <c:v>Zielgruppenkenntnis</c:v>
                  </c:pt>
                  <c:pt idx="19">
                    <c:v>Nutzerzentrierung</c:v>
                  </c:pt>
                  <c:pt idx="20">
                    <c:v>Nutzerfreundlichkeit (Usability /Operability)</c:v>
                  </c:pt>
                  <c:pt idx="21">
                    <c:v>Feedbackintegration</c:v>
                  </c:pt>
                </c:lvl>
                <c:lvl>
                  <c:pt idx="0">
                    <c:v>TD1.1</c:v>
                  </c:pt>
                  <c:pt idx="1">
                    <c:v>TD1.2</c:v>
                  </c:pt>
                  <c:pt idx="2">
                    <c:v>TD1.3</c:v>
                  </c:pt>
                  <c:pt idx="3">
                    <c:v>TD1.4</c:v>
                  </c:pt>
                  <c:pt idx="4">
                    <c:v>TD1.5</c:v>
                  </c:pt>
                  <c:pt idx="5">
                    <c:v>TD1.6</c:v>
                  </c:pt>
                  <c:pt idx="6">
                    <c:v>TD2.1</c:v>
                  </c:pt>
                  <c:pt idx="7">
                    <c:v>TD2.2</c:v>
                  </c:pt>
                  <c:pt idx="8">
                    <c:v>TD2.3</c:v>
                  </c:pt>
                  <c:pt idx="9">
                    <c:v>TD2.4</c:v>
                  </c:pt>
                  <c:pt idx="10">
                    <c:v>TD2.5</c:v>
                  </c:pt>
                  <c:pt idx="11">
                    <c:v>TD2.6</c:v>
                  </c:pt>
                  <c:pt idx="12">
                    <c:v>TD2.7</c:v>
                  </c:pt>
                  <c:pt idx="13">
                    <c:v>TD2.8</c:v>
                  </c:pt>
                  <c:pt idx="14">
                    <c:v>TD3.1</c:v>
                  </c:pt>
                  <c:pt idx="15">
                    <c:v>TD3.2</c:v>
                  </c:pt>
                  <c:pt idx="16">
                    <c:v>TD3.3</c:v>
                  </c:pt>
                  <c:pt idx="17">
                    <c:v>TD3.4</c:v>
                  </c:pt>
                  <c:pt idx="18">
                    <c:v>TD4.1</c:v>
                  </c:pt>
                  <c:pt idx="19">
                    <c:v>TD4.2</c:v>
                  </c:pt>
                  <c:pt idx="20">
                    <c:v>TD4.3</c:v>
                  </c:pt>
                  <c:pt idx="21">
                    <c:v>TD4.4</c:v>
                  </c:pt>
                </c:lvl>
              </c:multiLvlStrCache>
            </c:multiLvlStrRef>
          </c:cat>
          <c:val>
            <c:numRef>
              <c:f>Data!$D$3:$D$24</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1-DD96-4522-927F-961A0B33183A}"/>
            </c:ext>
          </c:extLst>
        </c:ser>
        <c:ser>
          <c:idx val="1"/>
          <c:order val="1"/>
          <c:tx>
            <c:strRef>
              <c:f>Data!$E$2</c:f>
              <c:strCache>
                <c:ptCount val="1"/>
                <c:pt idx="0">
                  <c:v>Soll-Reifegrad</c:v>
                </c:pt>
              </c:strCache>
            </c:strRef>
          </c:tx>
          <c:spPr>
            <a:ln w="28575" cap="rnd">
              <a:solidFill>
                <a:schemeClr val="accent6"/>
              </a:solidFill>
              <a:round/>
            </a:ln>
            <a:effectLst/>
          </c:spPr>
          <c:marker>
            <c:symbol val="none"/>
          </c:marker>
          <c:cat>
            <c:multiLvlStrRef>
              <c:f>Data!$B$3:$C$24</c:f>
              <c:multiLvlStrCache>
                <c:ptCount val="22"/>
                <c:lvl>
                  <c:pt idx="0">
                    <c:v>Prozessinitierung</c:v>
                  </c:pt>
                  <c:pt idx="1">
                    <c:v>Informationsbeschaffung</c:v>
                  </c:pt>
                  <c:pt idx="2">
                    <c:v>Interne Zusammenarbeit</c:v>
                  </c:pt>
                  <c:pt idx="3">
                    <c:v>Externe Zusammenarbeit</c:v>
                  </c:pt>
                  <c:pt idx="4">
                    <c:v>Rechtskonformität</c:v>
                  </c:pt>
                  <c:pt idx="5">
                    <c:v>Qualitätssicherung</c:v>
                  </c:pt>
                  <c:pt idx="6">
                    <c:v>Dokumentationsstrukturierung</c:v>
                  </c:pt>
                  <c:pt idx="7">
                    <c:v>Variantenmanagement</c:v>
                  </c:pt>
                  <c:pt idx="8">
                    <c:v>Metadatenmanagement</c:v>
                  </c:pt>
                  <c:pt idx="9">
                    <c:v>Terminologiemanagement</c:v>
                  </c:pt>
                  <c:pt idx="10">
                    <c:v>Übersetzungsmanagement</c:v>
                  </c:pt>
                  <c:pt idx="11">
                    <c:v>Aktualität</c:v>
                  </c:pt>
                  <c:pt idx="12">
                    <c:v>Versionierung</c:v>
                  </c:pt>
                  <c:pt idx="13">
                    <c:v>Ablage und Archivierung</c:v>
                  </c:pt>
                  <c:pt idx="14">
                    <c:v>Publikation und Verwaltung</c:v>
                  </c:pt>
                  <c:pt idx="15">
                    <c:v>Zugriffsmanagement</c:v>
                  </c:pt>
                  <c:pt idx="16">
                    <c:v>Zugänglichkeit der Dokumentation</c:v>
                  </c:pt>
                  <c:pt idx="17">
                    <c:v>Kanäle und Plattformen</c:v>
                  </c:pt>
                  <c:pt idx="18">
                    <c:v>Zielgruppenkenntnis</c:v>
                  </c:pt>
                  <c:pt idx="19">
                    <c:v>Nutzerzentrierung</c:v>
                  </c:pt>
                  <c:pt idx="20">
                    <c:v>Nutzerfreundlichkeit (Usability /Operability)</c:v>
                  </c:pt>
                  <c:pt idx="21">
                    <c:v>Feedbackintegration</c:v>
                  </c:pt>
                </c:lvl>
                <c:lvl>
                  <c:pt idx="0">
                    <c:v>TD1.1</c:v>
                  </c:pt>
                  <c:pt idx="1">
                    <c:v>TD1.2</c:v>
                  </c:pt>
                  <c:pt idx="2">
                    <c:v>TD1.3</c:v>
                  </c:pt>
                  <c:pt idx="3">
                    <c:v>TD1.4</c:v>
                  </c:pt>
                  <c:pt idx="4">
                    <c:v>TD1.5</c:v>
                  </c:pt>
                  <c:pt idx="5">
                    <c:v>TD1.6</c:v>
                  </c:pt>
                  <c:pt idx="6">
                    <c:v>TD2.1</c:v>
                  </c:pt>
                  <c:pt idx="7">
                    <c:v>TD2.2</c:v>
                  </c:pt>
                  <c:pt idx="8">
                    <c:v>TD2.3</c:v>
                  </c:pt>
                  <c:pt idx="9">
                    <c:v>TD2.4</c:v>
                  </c:pt>
                  <c:pt idx="10">
                    <c:v>TD2.5</c:v>
                  </c:pt>
                  <c:pt idx="11">
                    <c:v>TD2.6</c:v>
                  </c:pt>
                  <c:pt idx="12">
                    <c:v>TD2.7</c:v>
                  </c:pt>
                  <c:pt idx="13">
                    <c:v>TD2.8</c:v>
                  </c:pt>
                  <c:pt idx="14">
                    <c:v>TD3.1</c:v>
                  </c:pt>
                  <c:pt idx="15">
                    <c:v>TD3.2</c:v>
                  </c:pt>
                  <c:pt idx="16">
                    <c:v>TD3.3</c:v>
                  </c:pt>
                  <c:pt idx="17">
                    <c:v>TD3.4</c:v>
                  </c:pt>
                  <c:pt idx="18">
                    <c:v>TD4.1</c:v>
                  </c:pt>
                  <c:pt idx="19">
                    <c:v>TD4.2</c:v>
                  </c:pt>
                  <c:pt idx="20">
                    <c:v>TD4.3</c:v>
                  </c:pt>
                  <c:pt idx="21">
                    <c:v>TD4.4</c:v>
                  </c:pt>
                </c:lvl>
              </c:multiLvlStrCache>
            </c:multiLvlStrRef>
          </c:cat>
          <c:val>
            <c:numRef>
              <c:f>Data!$E$3:$E$24</c:f>
              <c:numCache>
                <c:formatCode>General</c:formatCode>
                <c:ptCount val="22"/>
                <c:pt idx="0">
                  <c:v>4</c:v>
                </c:pt>
                <c:pt idx="1">
                  <c:v>4</c:v>
                </c:pt>
                <c:pt idx="2">
                  <c:v>4</c:v>
                </c:pt>
                <c:pt idx="3">
                  <c:v>4</c:v>
                </c:pt>
                <c:pt idx="4">
                  <c:v>4</c:v>
                </c:pt>
                <c:pt idx="5">
                  <c:v>4</c:v>
                </c:pt>
                <c:pt idx="6">
                  <c:v>4</c:v>
                </c:pt>
                <c:pt idx="7">
                  <c:v>4</c:v>
                </c:pt>
                <c:pt idx="8">
                  <c:v>4</c:v>
                </c:pt>
                <c:pt idx="9">
                  <c:v>4</c:v>
                </c:pt>
                <c:pt idx="10">
                  <c:v>4</c:v>
                </c:pt>
                <c:pt idx="11">
                  <c:v>4</c:v>
                </c:pt>
                <c:pt idx="12">
                  <c:v>4</c:v>
                </c:pt>
                <c:pt idx="13">
                  <c:v>4</c:v>
                </c:pt>
                <c:pt idx="14">
                  <c:v>4</c:v>
                </c:pt>
                <c:pt idx="15">
                  <c:v>4</c:v>
                </c:pt>
                <c:pt idx="16">
                  <c:v>4</c:v>
                </c:pt>
                <c:pt idx="17">
                  <c:v>4</c:v>
                </c:pt>
                <c:pt idx="18">
                  <c:v>4</c:v>
                </c:pt>
                <c:pt idx="19">
                  <c:v>4</c:v>
                </c:pt>
                <c:pt idx="20">
                  <c:v>4</c:v>
                </c:pt>
                <c:pt idx="21">
                  <c:v>4</c:v>
                </c:pt>
              </c:numCache>
            </c:numRef>
          </c:val>
          <c:extLst>
            <c:ext xmlns:c16="http://schemas.microsoft.com/office/drawing/2014/chart" uri="{C3380CC4-5D6E-409C-BE32-E72D297353CC}">
              <c16:uniqueId val="{00000002-DD96-4522-927F-961A0B33183A}"/>
            </c:ext>
          </c:extLst>
        </c:ser>
        <c:dLbls>
          <c:showLegendKey val="0"/>
          <c:showVal val="0"/>
          <c:showCatName val="0"/>
          <c:showSerName val="0"/>
          <c:showPercent val="0"/>
          <c:showBubbleSize val="0"/>
        </c:dLbls>
        <c:axId val="437427232"/>
        <c:axId val="437430184"/>
      </c:radarChart>
      <c:catAx>
        <c:axId val="43742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Arial" panose="020B0604020202020204" pitchFamily="34" charset="0"/>
                <a:ea typeface="+mn-ea"/>
                <a:cs typeface="Arial" panose="020B0604020202020204" pitchFamily="34" charset="0"/>
              </a:defRPr>
            </a:pPr>
            <a:endParaRPr lang="de-DE"/>
          </a:p>
        </c:txPr>
        <c:crossAx val="437430184"/>
        <c:crosses val="autoZero"/>
        <c:auto val="1"/>
        <c:lblAlgn val="ctr"/>
        <c:lblOffset val="100"/>
        <c:noMultiLvlLbl val="0"/>
      </c:catAx>
      <c:valAx>
        <c:axId val="437430184"/>
        <c:scaling>
          <c:orientation val="minMax"/>
          <c:max val="5"/>
        </c:scaling>
        <c:delete val="0"/>
        <c:axPos val="l"/>
        <c:majorGridlines>
          <c:spPr>
            <a:ln w="9525" cap="flat" cmpd="sng" algn="ctr">
              <a:solidFill>
                <a:schemeClr val="bg2">
                  <a:lumMod val="90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solidFill>
              <a:schemeClr val="tx1">
                <a:lumMod val="50000"/>
                <a:lumOff val="50000"/>
              </a:schemeClr>
            </a:solidFill>
          </a:ln>
          <a:effectLst/>
        </c:spPr>
        <c:txPr>
          <a:bodyPr rot="-60000000" spcFirstLastPara="1" vertOverflow="ellipsis" vert="horz" wrap="square" anchor="ctr" anchorCtr="1"/>
          <a:lstStyle/>
          <a:p>
            <a:pPr>
              <a:defRPr sz="1600" b="1" i="0" u="none" strike="noStrike" kern="1200" baseline="0">
                <a:solidFill>
                  <a:srgbClr val="FF0000"/>
                </a:solidFill>
                <a:latin typeface="Arial" panose="020B0604020202020204" pitchFamily="34" charset="0"/>
                <a:ea typeface="+mn-ea"/>
                <a:cs typeface="Arial" panose="020B0604020202020204" pitchFamily="34" charset="0"/>
              </a:defRPr>
            </a:pPr>
            <a:endParaRPr lang="de-DE"/>
          </a:p>
        </c:txPr>
        <c:crossAx val="437427232"/>
        <c:crosses val="autoZero"/>
        <c:crossBetween val="between"/>
        <c:majorUnit val="1"/>
      </c:valAx>
      <c:spPr>
        <a:noFill/>
        <a:ln>
          <a:noFill/>
        </a:ln>
        <a:effectLst/>
      </c:spPr>
    </c:plotArea>
    <c:legend>
      <c:legendPos val="r"/>
      <c:layout>
        <c:manualLayout>
          <c:xMode val="edge"/>
          <c:yMode val="edge"/>
          <c:x val="0"/>
          <c:y val="9.3566077586831831E-2"/>
          <c:w val="0.15997449204234251"/>
          <c:h val="6.1127806967234327E-2"/>
        </c:manualLayout>
      </c:layout>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88937128999969"/>
          <c:y val="0.15672564681450343"/>
          <c:w val="0.4962538930298247"/>
          <c:h val="0.64395946980211249"/>
        </c:manualLayout>
      </c:layout>
      <c:radarChart>
        <c:radarStyle val="marker"/>
        <c:varyColors val="0"/>
        <c:ser>
          <c:idx val="0"/>
          <c:order val="0"/>
          <c:tx>
            <c:strRef>
              <c:f>Data!$D$2</c:f>
              <c:strCache>
                <c:ptCount val="1"/>
                <c:pt idx="0">
                  <c:v>Ist-Reifegrad</c:v>
                </c:pt>
              </c:strCache>
            </c:strRef>
          </c:tx>
          <c:spPr>
            <a:ln w="28575" cap="rnd">
              <a:solidFill>
                <a:schemeClr val="accent1"/>
              </a:solidFill>
              <a:round/>
            </a:ln>
            <a:effectLst/>
          </c:spPr>
          <c:marker>
            <c:symbol val="none"/>
          </c:marker>
          <c:cat>
            <c:multiLvlStrRef>
              <c:f>Data!$B$25:$C$35</c:f>
              <c:multiLvlStrCache>
                <c:ptCount val="11"/>
                <c:lvl>
                  <c:pt idx="0">
                    <c:v>Wissensspeicherung</c:v>
                  </c:pt>
                  <c:pt idx="1">
                    <c:v>Services</c:v>
                  </c:pt>
                  <c:pt idx="2">
                    <c:v>Technische Redaktion</c:v>
                  </c:pt>
                  <c:pt idx="3">
                    <c:v>Stellenwert der technischen Dokumentation in der Organisation</c:v>
                  </c:pt>
                  <c:pt idx="4">
                    <c:v>Kulturelle Verankerung</c:v>
                  </c:pt>
                  <c:pt idx="5">
                    <c:v>Interne Schnittstellen</c:v>
                  </c:pt>
                  <c:pt idx="6">
                    <c:v>Externe Schnittstellen</c:v>
                  </c:pt>
                  <c:pt idx="7">
                    <c:v>Redaktionelle IT-Infrastruktur</c:v>
                  </c:pt>
                  <c:pt idx="8">
                    <c:v>Organisationale IT-Infrastruktur</c:v>
                  </c:pt>
                  <c:pt idx="9">
                    <c:v>Digitalisierung der Produkte</c:v>
                  </c:pt>
                  <c:pt idx="10">
                    <c:v>Produktions-IT-Infrastruktur</c:v>
                  </c:pt>
                </c:lvl>
                <c:lvl>
                  <c:pt idx="0">
                    <c:v>OG1.1</c:v>
                  </c:pt>
                  <c:pt idx="1">
                    <c:v>OG1.2</c:v>
                  </c:pt>
                  <c:pt idx="2">
                    <c:v>OG2.1</c:v>
                  </c:pt>
                  <c:pt idx="3">
                    <c:v>OG2.2</c:v>
                  </c:pt>
                  <c:pt idx="4">
                    <c:v>OG2.3</c:v>
                  </c:pt>
                  <c:pt idx="5">
                    <c:v>OG3.1</c:v>
                  </c:pt>
                  <c:pt idx="6">
                    <c:v>OG3.2</c:v>
                  </c:pt>
                  <c:pt idx="7">
                    <c:v>OG4.1</c:v>
                  </c:pt>
                  <c:pt idx="8">
                    <c:v>OG4.2</c:v>
                  </c:pt>
                  <c:pt idx="9">
                    <c:v>OG4.3</c:v>
                  </c:pt>
                  <c:pt idx="10">
                    <c:v>OG4.4</c:v>
                  </c:pt>
                </c:lvl>
              </c:multiLvlStrCache>
            </c:multiLvlStrRef>
          </c:cat>
          <c:val>
            <c:numRef>
              <c:f>Data!$D$25:$D$35</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FDB3-4379-962D-F4174E36D322}"/>
            </c:ext>
          </c:extLst>
        </c:ser>
        <c:ser>
          <c:idx val="1"/>
          <c:order val="1"/>
          <c:tx>
            <c:strRef>
              <c:f>Data!$E$2</c:f>
              <c:strCache>
                <c:ptCount val="1"/>
                <c:pt idx="0">
                  <c:v>Soll-Reifegrad</c:v>
                </c:pt>
              </c:strCache>
            </c:strRef>
          </c:tx>
          <c:spPr>
            <a:ln w="28575" cap="rnd">
              <a:solidFill>
                <a:schemeClr val="accent2"/>
              </a:solidFill>
              <a:round/>
            </a:ln>
            <a:effectLst/>
          </c:spPr>
          <c:marker>
            <c:symbol val="none"/>
          </c:marker>
          <c:cat>
            <c:multiLvlStrRef>
              <c:f>Data!$B$25:$C$35</c:f>
              <c:multiLvlStrCache>
                <c:ptCount val="11"/>
                <c:lvl>
                  <c:pt idx="0">
                    <c:v>Wissensspeicherung</c:v>
                  </c:pt>
                  <c:pt idx="1">
                    <c:v>Services</c:v>
                  </c:pt>
                  <c:pt idx="2">
                    <c:v>Technische Redaktion</c:v>
                  </c:pt>
                  <c:pt idx="3">
                    <c:v>Stellenwert der technischen Dokumentation in der Organisation</c:v>
                  </c:pt>
                  <c:pt idx="4">
                    <c:v>Kulturelle Verankerung</c:v>
                  </c:pt>
                  <c:pt idx="5">
                    <c:v>Interne Schnittstellen</c:v>
                  </c:pt>
                  <c:pt idx="6">
                    <c:v>Externe Schnittstellen</c:v>
                  </c:pt>
                  <c:pt idx="7">
                    <c:v>Redaktionelle IT-Infrastruktur</c:v>
                  </c:pt>
                  <c:pt idx="8">
                    <c:v>Organisationale IT-Infrastruktur</c:v>
                  </c:pt>
                  <c:pt idx="9">
                    <c:v>Digitalisierung der Produkte</c:v>
                  </c:pt>
                  <c:pt idx="10">
                    <c:v>Produktions-IT-Infrastruktur</c:v>
                  </c:pt>
                </c:lvl>
                <c:lvl>
                  <c:pt idx="0">
                    <c:v>OG1.1</c:v>
                  </c:pt>
                  <c:pt idx="1">
                    <c:v>OG1.2</c:v>
                  </c:pt>
                  <c:pt idx="2">
                    <c:v>OG2.1</c:v>
                  </c:pt>
                  <c:pt idx="3">
                    <c:v>OG2.2</c:v>
                  </c:pt>
                  <c:pt idx="4">
                    <c:v>OG2.3</c:v>
                  </c:pt>
                  <c:pt idx="5">
                    <c:v>OG3.1</c:v>
                  </c:pt>
                  <c:pt idx="6">
                    <c:v>OG3.2</c:v>
                  </c:pt>
                  <c:pt idx="7">
                    <c:v>OG4.1</c:v>
                  </c:pt>
                  <c:pt idx="8">
                    <c:v>OG4.2</c:v>
                  </c:pt>
                  <c:pt idx="9">
                    <c:v>OG4.3</c:v>
                  </c:pt>
                  <c:pt idx="10">
                    <c:v>OG4.4</c:v>
                  </c:pt>
                </c:lvl>
              </c:multiLvlStrCache>
            </c:multiLvlStrRef>
          </c:cat>
          <c:val>
            <c:numRef>
              <c:f>Data!$E$25:$E$35</c:f>
              <c:numCache>
                <c:formatCode>General</c:formatCode>
                <c:ptCount val="11"/>
                <c:pt idx="0">
                  <c:v>4</c:v>
                </c:pt>
                <c:pt idx="1">
                  <c:v>4</c:v>
                </c:pt>
                <c:pt idx="2">
                  <c:v>4</c:v>
                </c:pt>
                <c:pt idx="3">
                  <c:v>4</c:v>
                </c:pt>
                <c:pt idx="4">
                  <c:v>4</c:v>
                </c:pt>
                <c:pt idx="5">
                  <c:v>4</c:v>
                </c:pt>
                <c:pt idx="6">
                  <c:v>4</c:v>
                </c:pt>
                <c:pt idx="7">
                  <c:v>4</c:v>
                </c:pt>
                <c:pt idx="8">
                  <c:v>4</c:v>
                </c:pt>
                <c:pt idx="9">
                  <c:v>4</c:v>
                </c:pt>
                <c:pt idx="10">
                  <c:v>4</c:v>
                </c:pt>
              </c:numCache>
            </c:numRef>
          </c:val>
          <c:extLst>
            <c:ext xmlns:c16="http://schemas.microsoft.com/office/drawing/2014/chart" uri="{C3380CC4-5D6E-409C-BE32-E72D297353CC}">
              <c16:uniqueId val="{00000001-FDB3-4379-962D-F4174E36D322}"/>
            </c:ext>
          </c:extLst>
        </c:ser>
        <c:dLbls>
          <c:showLegendKey val="0"/>
          <c:showVal val="0"/>
          <c:showCatName val="0"/>
          <c:showSerName val="0"/>
          <c:showPercent val="0"/>
          <c:showBubbleSize val="0"/>
        </c:dLbls>
        <c:axId val="437427232"/>
        <c:axId val="437430184"/>
      </c:radarChart>
      <c:catAx>
        <c:axId val="43742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Arial" panose="020B0604020202020204" pitchFamily="34" charset="0"/>
                <a:ea typeface="+mn-ea"/>
                <a:cs typeface="Arial" panose="020B0604020202020204" pitchFamily="34" charset="0"/>
              </a:defRPr>
            </a:pPr>
            <a:endParaRPr lang="de-DE"/>
          </a:p>
        </c:txPr>
        <c:crossAx val="437430184"/>
        <c:crosses val="autoZero"/>
        <c:auto val="1"/>
        <c:lblAlgn val="ctr"/>
        <c:lblOffset val="100"/>
        <c:noMultiLvlLbl val="0"/>
      </c:catAx>
      <c:valAx>
        <c:axId val="437430184"/>
        <c:scaling>
          <c:orientation val="minMax"/>
          <c:max val="5"/>
        </c:scaling>
        <c:delete val="0"/>
        <c:axPos val="l"/>
        <c:majorGridlines>
          <c:spPr>
            <a:ln w="9525" cap="flat" cmpd="sng" algn="ctr">
              <a:solidFill>
                <a:schemeClr val="bg2">
                  <a:lumMod val="90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solidFill>
              <a:schemeClr val="tx1">
                <a:lumMod val="50000"/>
                <a:lumOff val="50000"/>
              </a:schemeClr>
            </a:solidFill>
          </a:ln>
          <a:effectLst/>
        </c:spPr>
        <c:txPr>
          <a:bodyPr rot="-60000000" spcFirstLastPara="1" vertOverflow="ellipsis" vert="horz" wrap="square" anchor="ctr" anchorCtr="1"/>
          <a:lstStyle/>
          <a:p>
            <a:pPr>
              <a:defRPr sz="1600" b="1" i="0" u="none" strike="noStrike" kern="1200" baseline="0">
                <a:solidFill>
                  <a:srgbClr val="FF0000"/>
                </a:solidFill>
                <a:latin typeface="Arial" panose="020B0604020202020204" pitchFamily="34" charset="0"/>
                <a:ea typeface="+mn-ea"/>
                <a:cs typeface="Arial" panose="020B0604020202020204" pitchFamily="34" charset="0"/>
              </a:defRPr>
            </a:pPr>
            <a:endParaRPr lang="de-DE"/>
          </a:p>
        </c:txPr>
        <c:crossAx val="437427232"/>
        <c:crosses val="autoZero"/>
        <c:crossBetween val="between"/>
        <c:majorUnit val="1"/>
      </c:valAx>
      <c:spPr>
        <a:noFill/>
        <a:ln>
          <a:noFill/>
        </a:ln>
        <a:effectLst/>
      </c:spPr>
    </c:plotArea>
    <c:legend>
      <c:legendPos val="r"/>
      <c:layout>
        <c:manualLayout>
          <c:xMode val="edge"/>
          <c:yMode val="edge"/>
          <c:x val="0"/>
          <c:y val="9.3566077586831831E-2"/>
          <c:w val="0.15997449204234251"/>
          <c:h val="6.1127806967234327E-2"/>
        </c:manualLayout>
      </c:layout>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hyperlink" Target="#Deckblatt!A1"/></Relationships>
</file>

<file path=xl/drawings/_rels/drawing2.xml.rels><?xml version="1.0" encoding="UTF-8" standalone="yes"?>
<Relationships xmlns="http://schemas.openxmlformats.org/package/2006/relationships"><Relationship Id="rId3" Type="http://schemas.openxmlformats.org/officeDocument/2006/relationships/hyperlink" Target="#Ausf&#252;llhinweise!A1"/><Relationship Id="rId2" Type="http://schemas.openxmlformats.org/officeDocument/2006/relationships/hyperlink" Target="#Deckblatt!A1"/><Relationship Id="rId1" Type="http://schemas.openxmlformats.org/officeDocument/2006/relationships/chart" Target="../charts/chart1.xml"/><Relationship Id="rId5" Type="http://schemas.openxmlformats.org/officeDocument/2006/relationships/hyperlink" Target="#Data!O5"/><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hyperlink" Target="#Erl&#228;uterung!A1"/><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3" Type="http://schemas.openxmlformats.org/officeDocument/2006/relationships/hyperlink" Target="#Glossar!A1"/><Relationship Id="rId2" Type="http://schemas.openxmlformats.org/officeDocument/2006/relationships/hyperlink" Target="#Dashboard!A1"/><Relationship Id="rId1" Type="http://schemas.openxmlformats.org/officeDocument/2006/relationships/image" Target="../media/image1.png"/><Relationship Id="rId4"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hyperlink" Target="#TD1.1!A1"/><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2" Type="http://schemas.openxmlformats.org/officeDocument/2006/relationships/hyperlink" Target="#TD1.2!A1"/><Relationship Id="rId1" Type="http://schemas.openxmlformats.org/officeDocument/2006/relationships/hyperlink" Target="#Ausf&#252;llhinweise!A1"/></Relationships>
</file>

<file path=xl/drawings/_rels/drawing7.xml.rels><?xml version="1.0" encoding="UTF-8" standalone="yes"?>
<Relationships xmlns="http://schemas.openxmlformats.org/package/2006/relationships"><Relationship Id="rId2" Type="http://schemas.openxmlformats.org/officeDocument/2006/relationships/hyperlink" Target="#TD1.3!A1"/><Relationship Id="rId1" Type="http://schemas.openxmlformats.org/officeDocument/2006/relationships/hyperlink" Target="#Ausf&#252;llhinweise!A1"/></Relationships>
</file>

<file path=xl/drawings/_rels/drawing8.xml.rels><?xml version="1.0" encoding="UTF-8" standalone="yes"?>
<Relationships xmlns="http://schemas.openxmlformats.org/package/2006/relationships"><Relationship Id="rId2" Type="http://schemas.openxmlformats.org/officeDocument/2006/relationships/hyperlink" Target="#TD1.4!A1"/><Relationship Id="rId1" Type="http://schemas.openxmlformats.org/officeDocument/2006/relationships/hyperlink" Target="#Ausf&#252;llhinweise!A1"/></Relationships>
</file>

<file path=xl/drawings/_rels/drawing9.xml.rels><?xml version="1.0" encoding="UTF-8" standalone="yes"?>
<Relationships xmlns="http://schemas.openxmlformats.org/package/2006/relationships"><Relationship Id="rId2" Type="http://schemas.openxmlformats.org/officeDocument/2006/relationships/hyperlink" Target="#TD1.5!A1"/><Relationship Id="rId1" Type="http://schemas.openxmlformats.org/officeDocument/2006/relationships/hyperlink" Target="#Ausf&#252;llhinweise!A1"/></Relationships>
</file>

<file path=xl/drawings/_rels/drawing10.xml.rels><?xml version="1.0" encoding="UTF-8" standalone="yes"?>
<Relationships xmlns="http://schemas.openxmlformats.org/package/2006/relationships"><Relationship Id="rId2" Type="http://schemas.openxmlformats.org/officeDocument/2006/relationships/hyperlink" Target="#TD1.6!A1"/><Relationship Id="rId1" Type="http://schemas.openxmlformats.org/officeDocument/2006/relationships/hyperlink" Target="#Ausf&#252;llhinweise!A1"/></Relationships>
</file>

<file path=xl/drawings/_rels/drawing11.xml.rels><?xml version="1.0" encoding="UTF-8" standalone="yes"?>
<Relationships xmlns="http://schemas.openxmlformats.org/package/2006/relationships"><Relationship Id="rId2" Type="http://schemas.openxmlformats.org/officeDocument/2006/relationships/hyperlink" Target="#TD2.1!A1"/><Relationship Id="rId1" Type="http://schemas.openxmlformats.org/officeDocument/2006/relationships/hyperlink" Target="#Ausf&#252;llhinweise!A1"/></Relationships>
</file>

<file path=xl/drawings/_rels/drawing12.xml.rels><?xml version="1.0" encoding="UTF-8" standalone="yes"?>
<Relationships xmlns="http://schemas.openxmlformats.org/package/2006/relationships"><Relationship Id="rId2" Type="http://schemas.openxmlformats.org/officeDocument/2006/relationships/hyperlink" Target="#TD2.2!A1"/><Relationship Id="rId1" Type="http://schemas.openxmlformats.org/officeDocument/2006/relationships/hyperlink" Target="#Ausf&#252;llhinweise!A1"/></Relationships>
</file>

<file path=xl/drawings/_rels/drawing13.xml.rels><?xml version="1.0" encoding="UTF-8" standalone="yes"?>
<Relationships xmlns="http://schemas.openxmlformats.org/package/2006/relationships"><Relationship Id="rId2" Type="http://schemas.openxmlformats.org/officeDocument/2006/relationships/hyperlink" Target="#TD2.3!A1"/><Relationship Id="rId1" Type="http://schemas.openxmlformats.org/officeDocument/2006/relationships/hyperlink" Target="#Ausf&#252;llhinweise!A1"/></Relationships>
</file>

<file path=xl/drawings/_rels/drawing14.xml.rels><?xml version="1.0" encoding="UTF-8" standalone="yes"?>
<Relationships xmlns="http://schemas.openxmlformats.org/package/2006/relationships"><Relationship Id="rId2" Type="http://schemas.openxmlformats.org/officeDocument/2006/relationships/hyperlink" Target="#TD2.4!A1"/><Relationship Id="rId1" Type="http://schemas.openxmlformats.org/officeDocument/2006/relationships/hyperlink" Target="#Ausf&#252;llhinweise!A1"/></Relationships>
</file>

<file path=xl/drawings/_rels/drawing15.xml.rels><?xml version="1.0" encoding="UTF-8" standalone="yes"?>
<Relationships xmlns="http://schemas.openxmlformats.org/package/2006/relationships"><Relationship Id="rId2" Type="http://schemas.openxmlformats.org/officeDocument/2006/relationships/hyperlink" Target="#TD2.5!A1"/><Relationship Id="rId1" Type="http://schemas.openxmlformats.org/officeDocument/2006/relationships/hyperlink" Target="#Ausf&#252;llhinweise!A1"/></Relationships>
</file>

<file path=xl/drawings/_rels/drawing16.xml.rels><?xml version="1.0" encoding="UTF-8" standalone="yes"?>
<Relationships xmlns="http://schemas.openxmlformats.org/package/2006/relationships"><Relationship Id="rId2" Type="http://schemas.openxmlformats.org/officeDocument/2006/relationships/hyperlink" Target="#TD2.6!A1"/><Relationship Id="rId1" Type="http://schemas.openxmlformats.org/officeDocument/2006/relationships/hyperlink" Target="#Ausf&#252;llhinweise!A1"/></Relationships>
</file>

<file path=xl/drawings/_rels/drawing17.xml.rels><?xml version="1.0" encoding="UTF-8" standalone="yes"?>
<Relationships xmlns="http://schemas.openxmlformats.org/package/2006/relationships"><Relationship Id="rId2" Type="http://schemas.openxmlformats.org/officeDocument/2006/relationships/hyperlink" Target="#TD2.7!A1"/><Relationship Id="rId1" Type="http://schemas.openxmlformats.org/officeDocument/2006/relationships/hyperlink" Target="#Ausf&#252;llhinweise!A1"/></Relationships>
</file>

<file path=xl/drawings/_rels/drawing18.xml.rels><?xml version="1.0" encoding="UTF-8" standalone="yes"?>
<Relationships xmlns="http://schemas.openxmlformats.org/package/2006/relationships"><Relationship Id="rId2" Type="http://schemas.openxmlformats.org/officeDocument/2006/relationships/hyperlink" Target="#TD2.8!A1"/><Relationship Id="rId1" Type="http://schemas.openxmlformats.org/officeDocument/2006/relationships/hyperlink" Target="#Ausf&#252;llhinweise!A1"/></Relationships>
</file>

<file path=xl/drawings/_rels/drawing19.xml.rels><?xml version="1.0" encoding="UTF-8" standalone="yes"?>
<Relationships xmlns="http://schemas.openxmlformats.org/package/2006/relationships"><Relationship Id="rId2" Type="http://schemas.openxmlformats.org/officeDocument/2006/relationships/hyperlink" Target="#TD3.1!A1"/><Relationship Id="rId1" Type="http://schemas.openxmlformats.org/officeDocument/2006/relationships/hyperlink" Target="#Ausf&#252;llhinweise!A1"/></Relationships>
</file>

<file path=xl/drawings/_rels/drawing20.xml.rels><?xml version="1.0" encoding="UTF-8" standalone="yes"?>
<Relationships xmlns="http://schemas.openxmlformats.org/package/2006/relationships"><Relationship Id="rId2" Type="http://schemas.openxmlformats.org/officeDocument/2006/relationships/hyperlink" Target="#TD3.2!A1"/><Relationship Id="rId1" Type="http://schemas.openxmlformats.org/officeDocument/2006/relationships/hyperlink" Target="#Ausf&#252;llhinweise!A1"/></Relationships>
</file>

<file path=xl/drawings/_rels/drawing21.xml.rels><?xml version="1.0" encoding="UTF-8" standalone="yes"?>
<Relationships xmlns="http://schemas.openxmlformats.org/package/2006/relationships"><Relationship Id="rId2" Type="http://schemas.openxmlformats.org/officeDocument/2006/relationships/hyperlink" Target="#TD3.3!A1"/><Relationship Id="rId1" Type="http://schemas.openxmlformats.org/officeDocument/2006/relationships/hyperlink" Target="#Ausf&#252;llhinweise!A1"/></Relationships>
</file>

<file path=xl/drawings/_rels/drawing22.xml.rels><?xml version="1.0" encoding="UTF-8" standalone="yes"?>
<Relationships xmlns="http://schemas.openxmlformats.org/package/2006/relationships"><Relationship Id="rId2" Type="http://schemas.openxmlformats.org/officeDocument/2006/relationships/hyperlink" Target="#TD3.4!A1"/><Relationship Id="rId1" Type="http://schemas.openxmlformats.org/officeDocument/2006/relationships/hyperlink" Target="#Ausf&#252;llhinweise!A1"/></Relationships>
</file>

<file path=xl/drawings/_rels/drawing23.xml.rels><?xml version="1.0" encoding="UTF-8" standalone="yes"?>
<Relationships xmlns="http://schemas.openxmlformats.org/package/2006/relationships"><Relationship Id="rId2" Type="http://schemas.openxmlformats.org/officeDocument/2006/relationships/hyperlink" Target="#TD4.1!A1"/><Relationship Id="rId1" Type="http://schemas.openxmlformats.org/officeDocument/2006/relationships/hyperlink" Target="#Ausf&#252;llhinweise!A1"/></Relationships>
</file>

<file path=xl/drawings/_rels/drawing24.xml.rels><?xml version="1.0" encoding="UTF-8" standalone="yes"?>
<Relationships xmlns="http://schemas.openxmlformats.org/package/2006/relationships"><Relationship Id="rId2" Type="http://schemas.openxmlformats.org/officeDocument/2006/relationships/hyperlink" Target="#TD4.2!A1"/><Relationship Id="rId1" Type="http://schemas.openxmlformats.org/officeDocument/2006/relationships/hyperlink" Target="#Ausf&#252;llhinweise!A1"/></Relationships>
</file>

<file path=xl/drawings/_rels/drawing25.xml.rels><?xml version="1.0" encoding="UTF-8" standalone="yes"?>
<Relationships xmlns="http://schemas.openxmlformats.org/package/2006/relationships"><Relationship Id="rId2" Type="http://schemas.openxmlformats.org/officeDocument/2006/relationships/hyperlink" Target="#TD4.3!A1"/><Relationship Id="rId1" Type="http://schemas.openxmlformats.org/officeDocument/2006/relationships/hyperlink" Target="#Ausf&#252;llhinweise!A1"/></Relationships>
</file>

<file path=xl/drawings/_rels/drawing26.xml.rels><?xml version="1.0" encoding="UTF-8" standalone="yes"?>
<Relationships xmlns="http://schemas.openxmlformats.org/package/2006/relationships"><Relationship Id="rId2" Type="http://schemas.openxmlformats.org/officeDocument/2006/relationships/hyperlink" Target="#TD4.4!A1"/><Relationship Id="rId1" Type="http://schemas.openxmlformats.org/officeDocument/2006/relationships/hyperlink" Target="#Ausf&#252;llhinweise!A1"/></Relationships>
</file>

<file path=xl/drawings/_rels/drawing27.xml.rels><?xml version="1.0" encoding="UTF-8" standalone="yes"?>
<Relationships xmlns="http://schemas.openxmlformats.org/package/2006/relationships"><Relationship Id="rId2" Type="http://schemas.openxmlformats.org/officeDocument/2006/relationships/hyperlink" Target="#OG1.1!A1"/><Relationship Id="rId1" Type="http://schemas.openxmlformats.org/officeDocument/2006/relationships/hyperlink" Target="#Ausf&#252;llhinweise!A1"/></Relationships>
</file>

<file path=xl/drawings/_rels/drawing28.xml.rels><?xml version="1.0" encoding="UTF-8" standalone="yes"?>
<Relationships xmlns="http://schemas.openxmlformats.org/package/2006/relationships"><Relationship Id="rId2" Type="http://schemas.openxmlformats.org/officeDocument/2006/relationships/hyperlink" Target="#OG1.2!A1"/><Relationship Id="rId1" Type="http://schemas.openxmlformats.org/officeDocument/2006/relationships/hyperlink" Target="#Ausf&#252;llhinweise!A1"/></Relationships>
</file>

<file path=xl/drawings/_rels/drawing29.xml.rels><?xml version="1.0" encoding="UTF-8" standalone="yes"?>
<Relationships xmlns="http://schemas.openxmlformats.org/package/2006/relationships"><Relationship Id="rId2" Type="http://schemas.openxmlformats.org/officeDocument/2006/relationships/hyperlink" Target="#OG2.1!A1"/><Relationship Id="rId1" Type="http://schemas.openxmlformats.org/officeDocument/2006/relationships/hyperlink" Target="#Ausf&#252;llhinweise!A1"/></Relationships>
</file>

<file path=xl/drawings/_rels/drawing30.xml.rels><?xml version="1.0" encoding="UTF-8" standalone="yes"?>
<Relationships xmlns="http://schemas.openxmlformats.org/package/2006/relationships"><Relationship Id="rId2" Type="http://schemas.openxmlformats.org/officeDocument/2006/relationships/hyperlink" Target="#OG2.2!A1"/><Relationship Id="rId1" Type="http://schemas.openxmlformats.org/officeDocument/2006/relationships/hyperlink" Target="#Ausf&#252;llhinweise!A1"/></Relationships>
</file>

<file path=xl/drawings/_rels/drawing31.xml.rels><?xml version="1.0" encoding="UTF-8" standalone="yes"?>
<Relationships xmlns="http://schemas.openxmlformats.org/package/2006/relationships"><Relationship Id="rId2" Type="http://schemas.openxmlformats.org/officeDocument/2006/relationships/hyperlink" Target="#OG2.3!A1"/><Relationship Id="rId1" Type="http://schemas.openxmlformats.org/officeDocument/2006/relationships/hyperlink" Target="#Ausf&#252;llhinweise!A1"/></Relationships>
</file>

<file path=xl/drawings/_rels/drawing32.xml.rels><?xml version="1.0" encoding="UTF-8" standalone="yes"?>
<Relationships xmlns="http://schemas.openxmlformats.org/package/2006/relationships"><Relationship Id="rId2" Type="http://schemas.openxmlformats.org/officeDocument/2006/relationships/hyperlink" Target="#OG3.1!A1"/><Relationship Id="rId1" Type="http://schemas.openxmlformats.org/officeDocument/2006/relationships/hyperlink" Target="#Ausf&#252;llhinweise!A1"/></Relationships>
</file>

<file path=xl/drawings/_rels/drawing33.xml.rels><?xml version="1.0" encoding="UTF-8" standalone="yes"?>
<Relationships xmlns="http://schemas.openxmlformats.org/package/2006/relationships"><Relationship Id="rId2" Type="http://schemas.openxmlformats.org/officeDocument/2006/relationships/hyperlink" Target="#OG3.2!A1"/><Relationship Id="rId1" Type="http://schemas.openxmlformats.org/officeDocument/2006/relationships/hyperlink" Target="#Ausf&#252;llhinweise!A1"/></Relationships>
</file>

<file path=xl/drawings/_rels/drawing34.xml.rels><?xml version="1.0" encoding="UTF-8" standalone="yes"?>
<Relationships xmlns="http://schemas.openxmlformats.org/package/2006/relationships"><Relationship Id="rId2" Type="http://schemas.openxmlformats.org/officeDocument/2006/relationships/hyperlink" Target="#OG4.1!A1"/><Relationship Id="rId1" Type="http://schemas.openxmlformats.org/officeDocument/2006/relationships/hyperlink" Target="#Ausf&#252;llhinweise!A1"/></Relationships>
</file>

<file path=xl/drawings/_rels/drawing35.xml.rels><?xml version="1.0" encoding="UTF-8" standalone="yes"?>
<Relationships xmlns="http://schemas.openxmlformats.org/package/2006/relationships"><Relationship Id="rId2" Type="http://schemas.openxmlformats.org/officeDocument/2006/relationships/hyperlink" Target="#OG4.2!A1"/><Relationship Id="rId1" Type="http://schemas.openxmlformats.org/officeDocument/2006/relationships/hyperlink" Target="#Ausf&#252;llhinweise!A1"/></Relationships>
</file>

<file path=xl/drawings/_rels/drawing36.xml.rels><?xml version="1.0" encoding="UTF-8" standalone="yes"?>
<Relationships xmlns="http://schemas.openxmlformats.org/package/2006/relationships"><Relationship Id="rId2" Type="http://schemas.openxmlformats.org/officeDocument/2006/relationships/hyperlink" Target="#OG4.3!A1"/><Relationship Id="rId1" Type="http://schemas.openxmlformats.org/officeDocument/2006/relationships/hyperlink" Target="#Ausf&#252;llhinweise!A1"/></Relationships>
</file>

<file path=xl/drawings/_rels/drawing37.xml.rels><?xml version="1.0" encoding="UTF-8" standalone="yes"?>
<Relationships xmlns="http://schemas.openxmlformats.org/package/2006/relationships"><Relationship Id="rId2" Type="http://schemas.openxmlformats.org/officeDocument/2006/relationships/hyperlink" Target="#OG4.4!A1"/><Relationship Id="rId1" Type="http://schemas.openxmlformats.org/officeDocument/2006/relationships/hyperlink" Target="#Ausf&#252;llhinweise!A1"/></Relationships>
</file>

<file path=xl/drawings/_rels/drawing38.xml.rels><?xml version="1.0" encoding="UTF-8" standalone="yes"?>
<Relationships xmlns="http://schemas.openxmlformats.org/package/2006/relationships"><Relationship Id="rId1" Type="http://schemas.openxmlformats.org/officeDocument/2006/relationships/hyperlink" Target="#Ausf&#252;llhinweise!A1"/></Relationships>
</file>

<file path=xl/drawings/_rels/drawing39.xml.rels><?xml version="1.0" encoding="UTF-8" standalone="yes"?>
<Relationships xmlns="http://schemas.openxmlformats.org/package/2006/relationships"><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5.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6.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7.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8.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9.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30.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3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3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33.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642938</xdr:colOff>
      <xdr:row>1</xdr:row>
      <xdr:rowOff>166687</xdr:rowOff>
    </xdr:from>
    <xdr:to>
      <xdr:col>6</xdr:col>
      <xdr:colOff>118277</xdr:colOff>
      <xdr:row>2</xdr:row>
      <xdr:rowOff>164771</xdr:rowOff>
    </xdr:to>
    <xdr:grpSp>
      <xdr:nvGrpSpPr>
        <xdr:cNvPr id="16" name="Gruppieren 15">
          <a:extLst>
            <a:ext uri="{FF2B5EF4-FFF2-40B4-BE49-F238E27FC236}">
              <a16:creationId xmlns:a16="http://schemas.microsoft.com/office/drawing/2014/main" id="{23A90E34-11B6-4E71-9F75-4BDD562CB11C}"/>
            </a:ext>
          </a:extLst>
        </xdr:cNvPr>
        <xdr:cNvGrpSpPr/>
      </xdr:nvGrpSpPr>
      <xdr:grpSpPr>
        <a:xfrm>
          <a:off x="1673879" y="345981"/>
          <a:ext cx="4107104" cy="177378"/>
          <a:chOff x="1619251" y="345281"/>
          <a:chExt cx="3737776" cy="176678"/>
        </a:xfrm>
      </xdr:grpSpPr>
      <xdr:grpSp>
        <xdr:nvGrpSpPr>
          <xdr:cNvPr id="6" name="Group 2">
            <a:extLst>
              <a:ext uri="{FF2B5EF4-FFF2-40B4-BE49-F238E27FC236}">
                <a16:creationId xmlns:a16="http://schemas.microsoft.com/office/drawing/2014/main" id="{9C3843CA-8E61-433F-A951-BE5A82AB5E76}"/>
              </a:ext>
            </a:extLst>
          </xdr:cNvPr>
          <xdr:cNvGrpSpPr>
            <a:grpSpLocks noChangeAspect="1"/>
          </xdr:cNvGrpSpPr>
        </xdr:nvGrpSpPr>
        <xdr:grpSpPr>
          <a:xfrm>
            <a:off x="1619251" y="348626"/>
            <a:ext cx="2376375" cy="173333"/>
            <a:chOff x="-28558" y="87272"/>
            <a:chExt cx="2641710" cy="211849"/>
          </a:xfrm>
        </xdr:grpSpPr>
        <xdr:sp macro="" textlink="">
          <xdr:nvSpPr>
            <xdr:cNvPr id="13" name="Rectangle: Rounded Corners 9">
              <a:hlinkClick xmlns:r="http://schemas.openxmlformats.org/officeDocument/2006/relationships" r:id="rId1"/>
              <a:extLst>
                <a:ext uri="{FF2B5EF4-FFF2-40B4-BE49-F238E27FC236}">
                  <a16:creationId xmlns:a16="http://schemas.microsoft.com/office/drawing/2014/main" id="{97ADAAFC-CAE7-4EC6-BB25-5F20B2627150}"/>
                </a:ext>
              </a:extLst>
            </xdr:cNvPr>
            <xdr:cNvSpPr/>
          </xdr:nvSpPr>
          <xdr:spPr bwMode="auto">
            <a:xfrm>
              <a:off x="-28558" y="87272"/>
              <a:ext cx="2641710"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Zurück zum Deckblatt </a:t>
              </a:r>
            </a:p>
          </xdr:txBody>
        </xdr:sp>
        <xdr:sp macro="" textlink="">
          <xdr:nvSpPr>
            <xdr:cNvPr id="14" name="Freeform 22">
              <a:extLst>
                <a:ext uri="{FF2B5EF4-FFF2-40B4-BE49-F238E27FC236}">
                  <a16:creationId xmlns:a16="http://schemas.microsoft.com/office/drawing/2014/main" id="{E529EE2D-2D0A-4023-863A-EF606BB3750C}"/>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grpSp>
        <xdr:nvGrpSpPr>
          <xdr:cNvPr id="7" name="Group 3">
            <a:extLst>
              <a:ext uri="{FF2B5EF4-FFF2-40B4-BE49-F238E27FC236}">
                <a16:creationId xmlns:a16="http://schemas.microsoft.com/office/drawing/2014/main" id="{49C45BF3-F98F-4436-B0B2-6EE9D1B9B3AC}"/>
              </a:ext>
            </a:extLst>
          </xdr:cNvPr>
          <xdr:cNvGrpSpPr>
            <a:grpSpLocks noChangeAspect="1"/>
          </xdr:cNvGrpSpPr>
        </xdr:nvGrpSpPr>
        <xdr:grpSpPr>
          <a:xfrm>
            <a:off x="4078685" y="345281"/>
            <a:ext cx="1278342" cy="173333"/>
            <a:chOff x="13710557" y="484770"/>
            <a:chExt cx="1279072" cy="239129"/>
          </a:xfrm>
        </xdr:grpSpPr>
        <xdr:sp macro="" textlink="">
          <xdr:nvSpPr>
            <xdr:cNvPr id="11" name="Rectangle: Rounded Corners 7">
              <a:hlinkClick xmlns:r="http://schemas.openxmlformats.org/officeDocument/2006/relationships" r:id="rId2"/>
              <a:extLst>
                <a:ext uri="{FF2B5EF4-FFF2-40B4-BE49-F238E27FC236}">
                  <a16:creationId xmlns:a16="http://schemas.microsoft.com/office/drawing/2014/main" id="{E4EA4106-604E-4921-80C6-2DA0D6638DEE}"/>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12" name="Arrow: Right 8">
              <a:extLst>
                <a:ext uri="{FF2B5EF4-FFF2-40B4-BE49-F238E27FC236}">
                  <a16:creationId xmlns:a16="http://schemas.microsoft.com/office/drawing/2014/main" id="{079D2806-28B2-4E18-A804-4E42288119D1}"/>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grpSp>
    <xdr:clientData/>
  </xdr:twoCellAnchor>
  <xdr:twoCellAnchor>
    <xdr:from>
      <xdr:col>4</xdr:col>
      <xdr:colOff>192447</xdr:colOff>
      <xdr:row>12</xdr:row>
      <xdr:rowOff>114530</xdr:rowOff>
    </xdr:from>
    <xdr:to>
      <xdr:col>9</xdr:col>
      <xdr:colOff>33617</xdr:colOff>
      <xdr:row>14</xdr:row>
      <xdr:rowOff>89648</xdr:rowOff>
    </xdr:to>
    <xdr:sp macro="" textlink="">
      <xdr:nvSpPr>
        <xdr:cNvPr id="18" name="Rechteck 17">
          <a:extLst>
            <a:ext uri="{FF2B5EF4-FFF2-40B4-BE49-F238E27FC236}">
              <a16:creationId xmlns:a16="http://schemas.microsoft.com/office/drawing/2014/main" id="{6D7FD05B-5597-4024-8AE7-4A619FBD8197}"/>
            </a:ext>
          </a:extLst>
        </xdr:cNvPr>
        <xdr:cNvSpPr/>
      </xdr:nvSpPr>
      <xdr:spPr>
        <a:xfrm>
          <a:off x="3924006" y="2916001"/>
          <a:ext cx="3864082" cy="1006059"/>
        </a:xfrm>
        <a:prstGeom prst="rect">
          <a:avLst/>
        </a:prstGeom>
        <a:solidFill>
          <a:schemeClr val="bg1"/>
        </a:solidFill>
        <a:ln w="38100">
          <a:solidFill>
            <a:srgbClr val="333399"/>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spcAft>
              <a:spcPts val="600"/>
            </a:spcAft>
          </a:pPr>
          <a:r>
            <a:rPr lang="de-DE" sz="1000" b="1">
              <a:solidFill>
                <a:schemeClr val="tx1"/>
              </a:solidFill>
            </a:rPr>
            <a:t>Technische Dokumentation</a:t>
          </a:r>
        </a:p>
        <a:p>
          <a:pPr marL="171450" indent="-171450">
            <a:buFont typeface="Arial" panose="020B0604020202020204" pitchFamily="34" charset="0"/>
            <a:buChar char="•"/>
          </a:pPr>
          <a:r>
            <a:rPr lang="de-DE" sz="1000" b="1">
              <a:solidFill>
                <a:srgbClr val="333399"/>
              </a:solidFill>
            </a:rPr>
            <a:t>TD1 </a:t>
          </a:r>
          <a:r>
            <a:rPr lang="de-DE" sz="1000">
              <a:solidFill>
                <a:schemeClr val="tx1"/>
              </a:solidFill>
            </a:rPr>
            <a:t>Redaktionsprozess</a:t>
          </a:r>
        </a:p>
        <a:p>
          <a:pPr marL="171450" indent="-171450">
            <a:buFont typeface="Arial" panose="020B0604020202020204" pitchFamily="34" charset="0"/>
            <a:buChar char="•"/>
          </a:pPr>
          <a:r>
            <a:rPr lang="de-DE" sz="1000" b="1">
              <a:solidFill>
                <a:srgbClr val="333399"/>
              </a:solidFill>
            </a:rPr>
            <a:t>TD2 </a:t>
          </a:r>
          <a:r>
            <a:rPr lang="de-DE" sz="1000">
              <a:solidFill>
                <a:schemeClr val="tx1"/>
              </a:solidFill>
            </a:rPr>
            <a:t>Content Management</a:t>
          </a:r>
        </a:p>
        <a:p>
          <a:pPr marL="171450" indent="-171450">
            <a:buFont typeface="Arial" panose="020B0604020202020204" pitchFamily="34" charset="0"/>
            <a:buChar char="•"/>
          </a:pPr>
          <a:r>
            <a:rPr lang="de-DE" sz="1000" b="1">
              <a:solidFill>
                <a:srgbClr val="333399"/>
              </a:solidFill>
            </a:rPr>
            <a:t>TD3</a:t>
          </a:r>
          <a:r>
            <a:rPr lang="de-DE" sz="1000" b="1" baseline="0">
              <a:solidFill>
                <a:srgbClr val="333399"/>
              </a:solidFill>
            </a:rPr>
            <a:t> </a:t>
          </a:r>
          <a:r>
            <a:rPr lang="de-DE" sz="1000" b="0" baseline="0">
              <a:solidFill>
                <a:sysClr val="windowText" lastClr="000000"/>
              </a:solidFill>
            </a:rPr>
            <a:t>Content Delivery</a:t>
          </a:r>
          <a:endParaRPr lang="de-DE" sz="1000" b="1">
            <a:solidFill>
              <a:srgbClr val="333399"/>
            </a:solidFill>
          </a:endParaRPr>
        </a:p>
        <a:p>
          <a:pPr marL="171450" indent="-171450">
            <a:buFont typeface="Arial" panose="020B0604020202020204" pitchFamily="34" charset="0"/>
            <a:buChar char="•"/>
          </a:pPr>
          <a:r>
            <a:rPr lang="de-DE" sz="1000" b="1">
              <a:solidFill>
                <a:srgbClr val="333399"/>
              </a:solidFill>
            </a:rPr>
            <a:t>TD4</a:t>
          </a:r>
          <a:r>
            <a:rPr lang="de-DE" sz="1000" b="0">
              <a:solidFill>
                <a:srgbClr val="333399"/>
              </a:solidFill>
            </a:rPr>
            <a:t> </a:t>
          </a:r>
          <a:r>
            <a:rPr lang="de-DE" sz="1000" b="0">
              <a:solidFill>
                <a:sysClr val="windowText" lastClr="000000"/>
              </a:solidFill>
            </a:rPr>
            <a:t>Zielgruppenorientierung</a:t>
          </a:r>
          <a:endParaRPr lang="de-DE" sz="1000" b="1">
            <a:solidFill>
              <a:srgbClr val="333399"/>
            </a:solidFill>
          </a:endParaRPr>
        </a:p>
        <a:p>
          <a:pPr marL="171450" indent="-171450">
            <a:buFont typeface="Arial" panose="020B0604020202020204" pitchFamily="34" charset="0"/>
            <a:buChar char="•"/>
          </a:pPr>
          <a:endParaRPr lang="de-DE" sz="1000">
            <a:solidFill>
              <a:schemeClr val="tx1"/>
            </a:solidFill>
          </a:endParaRPr>
        </a:p>
        <a:p>
          <a:pPr marL="171450" indent="-171450">
            <a:buFont typeface="Arial" panose="020B0604020202020204" pitchFamily="34" charset="0"/>
            <a:buChar char="•"/>
          </a:pPr>
          <a:endParaRPr lang="de-DE" sz="1000">
            <a:solidFill>
              <a:schemeClr val="tx1"/>
            </a:solidFill>
          </a:endParaRPr>
        </a:p>
        <a:p>
          <a:pPr marL="171450" indent="-171450">
            <a:buFont typeface="Arial" panose="020B0604020202020204" pitchFamily="34" charset="0"/>
            <a:buChar char="•"/>
          </a:pPr>
          <a:endParaRPr lang="de-DE" sz="1000">
            <a:solidFill>
              <a:schemeClr val="tx1"/>
            </a:solidFill>
          </a:endParaRPr>
        </a:p>
        <a:p>
          <a:pPr marL="171450" indent="-171450">
            <a:buFont typeface="Arial" panose="020B0604020202020204" pitchFamily="34" charset="0"/>
            <a:buChar char="•"/>
          </a:pPr>
          <a:endParaRPr lang="de-DE" sz="1000">
            <a:solidFill>
              <a:schemeClr val="tx1"/>
            </a:solidFill>
          </a:endParaRPr>
        </a:p>
      </xdr:txBody>
    </xdr:sp>
    <xdr:clientData/>
  </xdr:twoCellAnchor>
  <xdr:twoCellAnchor>
    <xdr:from>
      <xdr:col>4</xdr:col>
      <xdr:colOff>192447</xdr:colOff>
      <xdr:row>15</xdr:row>
      <xdr:rowOff>107060</xdr:rowOff>
    </xdr:from>
    <xdr:to>
      <xdr:col>9</xdr:col>
      <xdr:colOff>22411</xdr:colOff>
      <xdr:row>17</xdr:row>
      <xdr:rowOff>16613</xdr:rowOff>
    </xdr:to>
    <xdr:sp macro="" textlink="">
      <xdr:nvSpPr>
        <xdr:cNvPr id="19" name="Rechteck 18">
          <a:extLst>
            <a:ext uri="{FF2B5EF4-FFF2-40B4-BE49-F238E27FC236}">
              <a16:creationId xmlns:a16="http://schemas.microsoft.com/office/drawing/2014/main" id="{17BC6FAF-DD7D-4AF1-B3E1-4B74B2CA0053}"/>
            </a:ext>
          </a:extLst>
        </xdr:cNvPr>
        <xdr:cNvSpPr/>
      </xdr:nvSpPr>
      <xdr:spPr>
        <a:xfrm>
          <a:off x="3924006" y="4488560"/>
          <a:ext cx="3852876" cy="1007729"/>
        </a:xfrm>
        <a:prstGeom prst="rect">
          <a:avLst/>
        </a:prstGeom>
        <a:solidFill>
          <a:schemeClr val="bg1"/>
        </a:solid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spcAft>
              <a:spcPts val="600"/>
            </a:spcAft>
          </a:pPr>
          <a:r>
            <a:rPr lang="de-DE" sz="1000" b="1">
              <a:solidFill>
                <a:schemeClr val="tx1"/>
              </a:solidFill>
            </a:rPr>
            <a:t>Organisation</a:t>
          </a:r>
        </a:p>
        <a:p>
          <a:pPr marL="171450" indent="-171450">
            <a:spcBef>
              <a:spcPts val="300"/>
            </a:spcBef>
            <a:buFont typeface="Arial" panose="020B0604020202020204" pitchFamily="34" charset="0"/>
            <a:buChar char="•"/>
          </a:pPr>
          <a:r>
            <a:rPr lang="de-DE" sz="1000" b="1">
              <a:solidFill>
                <a:schemeClr val="accent2"/>
              </a:solidFill>
            </a:rPr>
            <a:t>OG1 </a:t>
          </a:r>
          <a:r>
            <a:rPr lang="de-DE" sz="1000" b="0">
              <a:solidFill>
                <a:sysClr val="windowText" lastClr="000000"/>
              </a:solidFill>
            </a:rPr>
            <a:t>Wissensmanagement</a:t>
          </a:r>
        </a:p>
        <a:p>
          <a:pPr marL="171450" indent="-171450">
            <a:buFont typeface="Arial" panose="020B0604020202020204" pitchFamily="34" charset="0"/>
            <a:buChar char="•"/>
          </a:pPr>
          <a:r>
            <a:rPr lang="de-DE" sz="1000" b="1">
              <a:solidFill>
                <a:schemeClr val="accent2"/>
              </a:solidFill>
            </a:rPr>
            <a:t>OG2</a:t>
          </a:r>
          <a:r>
            <a:rPr lang="de-DE" sz="1000" b="0">
              <a:solidFill>
                <a:sysClr val="windowText" lastClr="000000"/>
              </a:solidFill>
            </a:rPr>
            <a:t> Organisationale Verankerung der technischen Dokumentation</a:t>
          </a:r>
          <a:endParaRPr lang="de-DE" sz="1000" b="1">
            <a:solidFill>
              <a:schemeClr val="accent2"/>
            </a:solidFill>
          </a:endParaRPr>
        </a:p>
        <a:p>
          <a:pPr marL="171450" indent="-171450">
            <a:buFont typeface="Arial" panose="020B0604020202020204" pitchFamily="34" charset="0"/>
            <a:buChar char="•"/>
          </a:pPr>
          <a:r>
            <a:rPr lang="de-DE" sz="1000" b="1">
              <a:solidFill>
                <a:schemeClr val="accent2"/>
              </a:solidFill>
            </a:rPr>
            <a:t>OG3</a:t>
          </a:r>
          <a:r>
            <a:rPr lang="de-DE" sz="1000" b="0">
              <a:solidFill>
                <a:sysClr val="windowText" lastClr="000000"/>
              </a:solidFill>
            </a:rPr>
            <a:t> Schnittstellen</a:t>
          </a:r>
          <a:endParaRPr lang="de-DE" sz="1000" b="1">
            <a:solidFill>
              <a:schemeClr val="accent2"/>
            </a:solidFill>
          </a:endParaRPr>
        </a:p>
        <a:p>
          <a:pPr marL="171450" indent="-171450">
            <a:buFont typeface="Arial" panose="020B0604020202020204" pitchFamily="34" charset="0"/>
            <a:buChar char="•"/>
          </a:pPr>
          <a:r>
            <a:rPr lang="de-DE" sz="1000" b="1">
              <a:solidFill>
                <a:schemeClr val="accent2"/>
              </a:solidFill>
            </a:rPr>
            <a:t>OG4</a:t>
          </a:r>
          <a:r>
            <a:rPr lang="de-DE" sz="1000" b="0">
              <a:solidFill>
                <a:sysClr val="windowText" lastClr="000000"/>
              </a:solidFill>
            </a:rPr>
            <a:t> Technologische Infrastruktur</a:t>
          </a:r>
          <a:endParaRPr lang="de-DE" sz="10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35715</xdr:colOff>
      <xdr:row>20</xdr:row>
      <xdr:rowOff>73138</xdr:rowOff>
    </xdr:from>
    <xdr:to>
      <xdr:col>9</xdr:col>
      <xdr:colOff>47624</xdr:colOff>
      <xdr:row>50</xdr:row>
      <xdr:rowOff>224118</xdr:rowOff>
    </xdr:to>
    <xdr:graphicFrame macro="">
      <xdr:nvGraphicFramePr>
        <xdr:cNvPr id="5" name="Diagramm 4">
          <a:extLst>
            <a:ext uri="{FF2B5EF4-FFF2-40B4-BE49-F238E27FC236}">
              <a16:creationId xmlns:a16="http://schemas.microsoft.com/office/drawing/2014/main" id="{680E7EF3-9224-4D60-A373-B46166BB9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xdr:row>
      <xdr:rowOff>0</xdr:rowOff>
    </xdr:from>
    <xdr:to>
      <xdr:col>6</xdr:col>
      <xdr:colOff>1106495</xdr:colOff>
      <xdr:row>3</xdr:row>
      <xdr:rowOff>466</xdr:rowOff>
    </xdr:to>
    <xdr:grpSp>
      <xdr:nvGrpSpPr>
        <xdr:cNvPr id="12" name="Gruppieren 11">
          <a:extLst>
            <a:ext uri="{FF2B5EF4-FFF2-40B4-BE49-F238E27FC236}">
              <a16:creationId xmlns:a16="http://schemas.microsoft.com/office/drawing/2014/main" id="{D80802ED-45FF-4F8A-9330-5B246024BF22}"/>
            </a:ext>
          </a:extLst>
        </xdr:cNvPr>
        <xdr:cNvGrpSpPr/>
      </xdr:nvGrpSpPr>
      <xdr:grpSpPr>
        <a:xfrm>
          <a:off x="1912471" y="358588"/>
          <a:ext cx="4027495" cy="179760"/>
          <a:chOff x="1619251" y="345281"/>
          <a:chExt cx="3737776" cy="176678"/>
        </a:xfrm>
      </xdr:grpSpPr>
      <xdr:grpSp>
        <xdr:nvGrpSpPr>
          <xdr:cNvPr id="13" name="Group 2">
            <a:extLst>
              <a:ext uri="{FF2B5EF4-FFF2-40B4-BE49-F238E27FC236}">
                <a16:creationId xmlns:a16="http://schemas.microsoft.com/office/drawing/2014/main" id="{9DC0094F-8DE6-49F8-A953-3276318759D9}"/>
              </a:ext>
            </a:extLst>
          </xdr:cNvPr>
          <xdr:cNvGrpSpPr>
            <a:grpSpLocks noChangeAspect="1"/>
          </xdr:cNvGrpSpPr>
        </xdr:nvGrpSpPr>
        <xdr:grpSpPr>
          <a:xfrm>
            <a:off x="1619251" y="348626"/>
            <a:ext cx="2376375" cy="173333"/>
            <a:chOff x="-28558" y="87272"/>
            <a:chExt cx="2641710" cy="211849"/>
          </a:xfrm>
        </xdr:grpSpPr>
        <xdr:sp macro="" textlink="">
          <xdr:nvSpPr>
            <xdr:cNvPr id="17" name="Rectangle: Rounded Corners 9">
              <a:hlinkClick xmlns:r="http://schemas.openxmlformats.org/officeDocument/2006/relationships" r:id="rId2"/>
              <a:extLst>
                <a:ext uri="{FF2B5EF4-FFF2-40B4-BE49-F238E27FC236}">
                  <a16:creationId xmlns:a16="http://schemas.microsoft.com/office/drawing/2014/main" id="{BF2266CA-C697-4869-B8E9-02965F9447FB}"/>
                </a:ext>
              </a:extLst>
            </xdr:cNvPr>
            <xdr:cNvSpPr/>
          </xdr:nvSpPr>
          <xdr:spPr bwMode="auto">
            <a:xfrm>
              <a:off x="-28558" y="87272"/>
              <a:ext cx="2641710"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Zurück zum Deckblatt </a:t>
              </a:r>
            </a:p>
          </xdr:txBody>
        </xdr:sp>
        <xdr:sp macro="" textlink="">
          <xdr:nvSpPr>
            <xdr:cNvPr id="18" name="Freeform 22">
              <a:extLst>
                <a:ext uri="{FF2B5EF4-FFF2-40B4-BE49-F238E27FC236}">
                  <a16:creationId xmlns:a16="http://schemas.microsoft.com/office/drawing/2014/main" id="{E8B87830-75DB-4CD2-AF28-E07DD3F5CBA3}"/>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grpSp>
        <xdr:nvGrpSpPr>
          <xdr:cNvPr id="14" name="Group 3">
            <a:extLst>
              <a:ext uri="{FF2B5EF4-FFF2-40B4-BE49-F238E27FC236}">
                <a16:creationId xmlns:a16="http://schemas.microsoft.com/office/drawing/2014/main" id="{82AE67D1-BD60-4F37-9115-11187008A2C9}"/>
              </a:ext>
            </a:extLst>
          </xdr:cNvPr>
          <xdr:cNvGrpSpPr>
            <a:grpSpLocks noChangeAspect="1"/>
          </xdr:cNvGrpSpPr>
        </xdr:nvGrpSpPr>
        <xdr:grpSpPr>
          <a:xfrm>
            <a:off x="4078685" y="345281"/>
            <a:ext cx="1278342" cy="173333"/>
            <a:chOff x="13710557" y="484770"/>
            <a:chExt cx="1279072" cy="239129"/>
          </a:xfrm>
        </xdr:grpSpPr>
        <xdr:sp macro="" textlink="">
          <xdr:nvSpPr>
            <xdr:cNvPr id="15" name="Rectangle: Rounded Corners 7">
              <a:hlinkClick xmlns:r="http://schemas.openxmlformats.org/officeDocument/2006/relationships" r:id="rId3"/>
              <a:extLst>
                <a:ext uri="{FF2B5EF4-FFF2-40B4-BE49-F238E27FC236}">
                  <a16:creationId xmlns:a16="http://schemas.microsoft.com/office/drawing/2014/main" id="{E39E2A07-F9FC-4659-A1C7-BF388DEC23CE}"/>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16" name="Arrow: Right 8">
              <a:extLst>
                <a:ext uri="{FF2B5EF4-FFF2-40B4-BE49-F238E27FC236}">
                  <a16:creationId xmlns:a16="http://schemas.microsoft.com/office/drawing/2014/main" id="{922EFE8A-90D5-4CD8-B879-4FED56E82D36}"/>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grpSp>
    <xdr:clientData/>
  </xdr:twoCellAnchor>
  <xdr:twoCellAnchor>
    <xdr:from>
      <xdr:col>1</xdr:col>
      <xdr:colOff>50656</xdr:colOff>
      <xdr:row>44</xdr:row>
      <xdr:rowOff>209176</xdr:rowOff>
    </xdr:from>
    <xdr:to>
      <xdr:col>9</xdr:col>
      <xdr:colOff>62565</xdr:colOff>
      <xdr:row>76</xdr:row>
      <xdr:rowOff>28013</xdr:rowOff>
    </xdr:to>
    <xdr:graphicFrame macro="">
      <xdr:nvGraphicFramePr>
        <xdr:cNvPr id="10" name="Diagramm 9">
          <a:extLst>
            <a:ext uri="{FF2B5EF4-FFF2-40B4-BE49-F238E27FC236}">
              <a16:creationId xmlns:a16="http://schemas.microsoft.com/office/drawing/2014/main" id="{30537459-E024-480B-808D-65E4985A1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123263</xdr:colOff>
      <xdr:row>18</xdr:row>
      <xdr:rowOff>11206</xdr:rowOff>
    </xdr:from>
    <xdr:to>
      <xdr:col>13</xdr:col>
      <xdr:colOff>705969</xdr:colOff>
      <xdr:row>20</xdr:row>
      <xdr:rowOff>112058</xdr:rowOff>
    </xdr:to>
    <xdr:sp macro="" textlink="">
      <xdr:nvSpPr>
        <xdr:cNvPr id="11" name="Rectangle: Rounded Corners 7">
          <a:hlinkClick xmlns:r="http://schemas.openxmlformats.org/officeDocument/2006/relationships" r:id="rId5"/>
          <a:extLst>
            <a:ext uri="{FF2B5EF4-FFF2-40B4-BE49-F238E27FC236}">
              <a16:creationId xmlns:a16="http://schemas.microsoft.com/office/drawing/2014/main" id="{D94E1339-BF7D-4BFA-A9EA-FA31A6C5266D}"/>
            </a:ext>
          </a:extLst>
        </xdr:cNvPr>
        <xdr:cNvSpPr/>
      </xdr:nvSpPr>
      <xdr:spPr bwMode="auto">
        <a:xfrm>
          <a:off x="9020734" y="2185147"/>
          <a:ext cx="1804147" cy="448235"/>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Eigenes Ziel definieren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1172307</xdr:colOff>
      <xdr:row>1</xdr:row>
      <xdr:rowOff>166864</xdr:rowOff>
    </xdr:from>
    <xdr:to>
      <xdr:col>4</xdr:col>
      <xdr:colOff>409415</xdr:colOff>
      <xdr:row>2</xdr:row>
      <xdr:rowOff>161670</xdr:rowOff>
    </xdr:to>
    <xdr:grpSp>
      <xdr:nvGrpSpPr>
        <xdr:cNvPr id="4" name="Group 2">
          <a:hlinkClick xmlns:r="http://schemas.openxmlformats.org/officeDocument/2006/relationships" r:id="rId1"/>
          <a:extLst>
            <a:ext uri="{FF2B5EF4-FFF2-40B4-BE49-F238E27FC236}">
              <a16:creationId xmlns:a16="http://schemas.microsoft.com/office/drawing/2014/main" id="{E298C07E-F347-4875-813B-EDA6FC6EB7FB}"/>
            </a:ext>
          </a:extLst>
        </xdr:cNvPr>
        <xdr:cNvGrpSpPr>
          <a:grpSpLocks noChangeAspect="1"/>
        </xdr:cNvGrpSpPr>
      </xdr:nvGrpSpPr>
      <xdr:grpSpPr>
        <a:xfrm>
          <a:off x="1583189" y="346158"/>
          <a:ext cx="2359814" cy="174100"/>
          <a:chOff x="952863" y="87272"/>
          <a:chExt cx="1660289" cy="211849"/>
        </a:xfrm>
      </xdr:grpSpPr>
      <xdr:sp macro="" textlink="">
        <xdr:nvSpPr>
          <xdr:cNvPr id="8" name="Rectangle: Rounded Corners 9">
            <a:extLst>
              <a:ext uri="{FF2B5EF4-FFF2-40B4-BE49-F238E27FC236}">
                <a16:creationId xmlns:a16="http://schemas.microsoft.com/office/drawing/2014/main" id="{B4043D6A-6E78-4626-8210-EC256A0667DF}"/>
              </a:ext>
            </a:extLst>
          </xdr:cNvPr>
          <xdr:cNvSpPr/>
        </xdr:nvSpPr>
        <xdr:spPr bwMode="auto">
          <a:xfrm>
            <a:off x="952863" y="87272"/>
            <a:ext cx="1660289"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Zurück zum Dashboard </a:t>
            </a:r>
          </a:p>
        </xdr:txBody>
      </xdr:sp>
      <xdr:sp macro="" textlink="">
        <xdr:nvSpPr>
          <xdr:cNvPr id="9" name="Freeform 22">
            <a:extLst>
              <a:ext uri="{FF2B5EF4-FFF2-40B4-BE49-F238E27FC236}">
                <a16:creationId xmlns:a16="http://schemas.microsoft.com/office/drawing/2014/main" id="{D12A5121-6702-406A-9DE0-1108E284F981}"/>
              </a:ext>
            </a:extLst>
          </xdr:cNvPr>
          <xdr:cNvSpPr>
            <a:spLocks noChangeAspect="1" noEditPoints="1"/>
          </xdr:cNvSpPr>
        </xdr:nvSpPr>
        <xdr:spPr bwMode="auto">
          <a:xfrm>
            <a:off x="1001492"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solidFill>
              <a:sysClr val="windowText" lastClr="000000"/>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4</xdr:col>
      <xdr:colOff>453233</xdr:colOff>
      <xdr:row>1</xdr:row>
      <xdr:rowOff>166864</xdr:rowOff>
    </xdr:from>
    <xdr:to>
      <xdr:col>5</xdr:col>
      <xdr:colOff>897358</xdr:colOff>
      <xdr:row>2</xdr:row>
      <xdr:rowOff>161670</xdr:rowOff>
    </xdr:to>
    <xdr:grpSp>
      <xdr:nvGrpSpPr>
        <xdr:cNvPr id="5" name="Group 3">
          <a:extLst>
            <a:ext uri="{FF2B5EF4-FFF2-40B4-BE49-F238E27FC236}">
              <a16:creationId xmlns:a16="http://schemas.microsoft.com/office/drawing/2014/main" id="{75F828A8-D04E-4940-A1EE-9ADC6F718518}"/>
            </a:ext>
          </a:extLst>
        </xdr:cNvPr>
        <xdr:cNvGrpSpPr>
          <a:grpSpLocks noChangeAspect="1"/>
        </xdr:cNvGrpSpPr>
      </xdr:nvGrpSpPr>
      <xdr:grpSpPr>
        <a:xfrm>
          <a:off x="3986821" y="346158"/>
          <a:ext cx="1751478" cy="1741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9C6EA7CA-4DD0-48CB-BA40-F1C53D59F5AF}"/>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82BFF4B5-4A93-43BA-8BAF-E1B4BEE72073}"/>
              </a:ext>
            </a:extLst>
          </xdr:cNvPr>
          <xdr:cNvSpPr/>
        </xdr:nvSpPr>
        <xdr:spPr bwMode="auto">
          <a:xfrm>
            <a:off x="14773546" y="555171"/>
            <a:ext cx="175815" cy="97972"/>
          </a:xfrm>
          <a:prstGeom prst="rightArrow">
            <a:avLst/>
          </a:prstGeom>
          <a:solidFill>
            <a:schemeClr val="tx1"/>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672353</xdr:colOff>
      <xdr:row>12</xdr:row>
      <xdr:rowOff>45748</xdr:rowOff>
    </xdr:from>
    <xdr:to>
      <xdr:col>8</xdr:col>
      <xdr:colOff>580663</xdr:colOff>
      <xdr:row>13</xdr:row>
      <xdr:rowOff>227015</xdr:rowOff>
    </xdr:to>
    <xdr:pic>
      <xdr:nvPicPr>
        <xdr:cNvPr id="2" name="Grafik 1">
          <a:extLst>
            <a:ext uri="{FF2B5EF4-FFF2-40B4-BE49-F238E27FC236}">
              <a16:creationId xmlns:a16="http://schemas.microsoft.com/office/drawing/2014/main" id="{0DFF1F16-2459-4F51-A6F8-3615D93A821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t="7655" b="7655"/>
        <a:stretch/>
      </xdr:blipFill>
      <xdr:spPr>
        <a:xfrm>
          <a:off x="3806078" y="2655598"/>
          <a:ext cx="4680335" cy="266992"/>
        </a:xfrm>
        <a:prstGeom prst="rect">
          <a:avLst/>
        </a:prstGeom>
        <a:ln w="57150">
          <a:solidFill>
            <a:schemeClr val="bg1"/>
          </a:solidFill>
        </a:ln>
      </xdr:spPr>
    </xdr:pic>
    <xdr:clientData/>
  </xdr:twoCellAnchor>
  <xdr:twoCellAnchor>
    <xdr:from>
      <xdr:col>2</xdr:col>
      <xdr:colOff>1291167</xdr:colOff>
      <xdr:row>1</xdr:row>
      <xdr:rowOff>161776</xdr:rowOff>
    </xdr:from>
    <xdr:to>
      <xdr:col>4</xdr:col>
      <xdr:colOff>525072</xdr:colOff>
      <xdr:row>2</xdr:row>
      <xdr:rowOff>153706</xdr:rowOff>
    </xdr:to>
    <xdr:grpSp>
      <xdr:nvGrpSpPr>
        <xdr:cNvPr id="3" name="Group 2">
          <a:hlinkClick xmlns:r="http://schemas.openxmlformats.org/officeDocument/2006/relationships" r:id="rId2"/>
          <a:extLst>
            <a:ext uri="{FF2B5EF4-FFF2-40B4-BE49-F238E27FC236}">
              <a16:creationId xmlns:a16="http://schemas.microsoft.com/office/drawing/2014/main" id="{1B03E99B-836E-4217-AD4D-AC15F474EBA4}"/>
            </a:ext>
          </a:extLst>
        </xdr:cNvPr>
        <xdr:cNvGrpSpPr>
          <a:grpSpLocks noChangeAspect="1"/>
        </xdr:cNvGrpSpPr>
      </xdr:nvGrpSpPr>
      <xdr:grpSpPr>
        <a:xfrm>
          <a:off x="1697567" y="339576"/>
          <a:ext cx="2104105" cy="169730"/>
          <a:chOff x="952863" y="87272"/>
          <a:chExt cx="1660289" cy="211849"/>
        </a:xfrm>
      </xdr:grpSpPr>
      <xdr:sp macro="" textlink="">
        <xdr:nvSpPr>
          <xdr:cNvPr id="4" name="Rectangle: Rounded Corners 9">
            <a:extLst>
              <a:ext uri="{FF2B5EF4-FFF2-40B4-BE49-F238E27FC236}">
                <a16:creationId xmlns:a16="http://schemas.microsoft.com/office/drawing/2014/main" id="{2E189198-31A6-4749-8637-BE941086367F}"/>
              </a:ext>
            </a:extLst>
          </xdr:cNvPr>
          <xdr:cNvSpPr/>
        </xdr:nvSpPr>
        <xdr:spPr bwMode="auto">
          <a:xfrm>
            <a:off x="952863" y="87272"/>
            <a:ext cx="1660289"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Zurück zum Dashboard </a:t>
            </a:r>
          </a:p>
        </xdr:txBody>
      </xdr:sp>
      <xdr:sp macro="" textlink="">
        <xdr:nvSpPr>
          <xdr:cNvPr id="5" name="Freeform 22">
            <a:extLst>
              <a:ext uri="{FF2B5EF4-FFF2-40B4-BE49-F238E27FC236}">
                <a16:creationId xmlns:a16="http://schemas.microsoft.com/office/drawing/2014/main" id="{7B261E0A-0CCB-458B-ACF0-82ABAAD6B909}"/>
              </a:ext>
            </a:extLst>
          </xdr:cNvPr>
          <xdr:cNvSpPr>
            <a:spLocks noChangeAspect="1" noEditPoints="1"/>
          </xdr:cNvSpPr>
        </xdr:nvSpPr>
        <xdr:spPr bwMode="auto">
          <a:xfrm>
            <a:off x="1001492"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4</xdr:col>
      <xdr:colOff>568944</xdr:colOff>
      <xdr:row>1</xdr:row>
      <xdr:rowOff>161776</xdr:rowOff>
    </xdr:from>
    <xdr:to>
      <xdr:col>5</xdr:col>
      <xdr:colOff>1016218</xdr:colOff>
      <xdr:row>2</xdr:row>
      <xdr:rowOff>153706</xdr:rowOff>
    </xdr:to>
    <xdr:grpSp>
      <xdr:nvGrpSpPr>
        <xdr:cNvPr id="6" name="Group 3">
          <a:hlinkClick xmlns:r="http://schemas.openxmlformats.org/officeDocument/2006/relationships" r:id="rId3"/>
          <a:extLst>
            <a:ext uri="{FF2B5EF4-FFF2-40B4-BE49-F238E27FC236}">
              <a16:creationId xmlns:a16="http://schemas.microsoft.com/office/drawing/2014/main" id="{C969649E-B1FD-435B-841A-947D541B0C56}"/>
            </a:ext>
          </a:extLst>
        </xdr:cNvPr>
        <xdr:cNvGrpSpPr>
          <a:grpSpLocks noChangeAspect="1"/>
        </xdr:cNvGrpSpPr>
      </xdr:nvGrpSpPr>
      <xdr:grpSpPr>
        <a:xfrm>
          <a:off x="3845544" y="339576"/>
          <a:ext cx="1755374" cy="169730"/>
          <a:chOff x="13710557" y="484770"/>
          <a:chExt cx="1279072" cy="239129"/>
        </a:xfrm>
      </xdr:grpSpPr>
      <xdr:sp macro="" textlink="">
        <xdr:nvSpPr>
          <xdr:cNvPr id="7" name="Rectangle: Rounded Corners 7">
            <a:hlinkClick xmlns:r="http://schemas.openxmlformats.org/officeDocument/2006/relationships" r:id="rId3"/>
            <a:extLst>
              <a:ext uri="{FF2B5EF4-FFF2-40B4-BE49-F238E27FC236}">
                <a16:creationId xmlns:a16="http://schemas.microsoft.com/office/drawing/2014/main" id="{8273A246-547E-4FBD-AFF7-B5D2429B886A}"/>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8" name="Arrow: Right 8">
            <a:extLst>
              <a:ext uri="{FF2B5EF4-FFF2-40B4-BE49-F238E27FC236}">
                <a16:creationId xmlns:a16="http://schemas.microsoft.com/office/drawing/2014/main" id="{D306B995-A6EF-4E42-8FF6-841D6D3ECB55}"/>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twoCellAnchor editAs="oneCell">
    <xdr:from>
      <xdr:col>0</xdr:col>
      <xdr:colOff>203406</xdr:colOff>
      <xdr:row>21</xdr:row>
      <xdr:rowOff>201705</xdr:rowOff>
    </xdr:from>
    <xdr:to>
      <xdr:col>13</xdr:col>
      <xdr:colOff>171382</xdr:colOff>
      <xdr:row>35</xdr:row>
      <xdr:rowOff>33618</xdr:rowOff>
    </xdr:to>
    <xdr:pic>
      <xdr:nvPicPr>
        <xdr:cNvPr id="13" name="Grafik 12">
          <a:extLst>
            <a:ext uri="{FF2B5EF4-FFF2-40B4-BE49-F238E27FC236}">
              <a16:creationId xmlns:a16="http://schemas.microsoft.com/office/drawing/2014/main" id="{B0ACE404-D19C-4857-807B-8ED8626AE42D}"/>
            </a:ext>
          </a:extLst>
        </xdr:cNvPr>
        <xdr:cNvPicPr>
          <a:picLocks noChangeAspect="1"/>
        </xdr:cNvPicPr>
      </xdr:nvPicPr>
      <xdr:blipFill rotWithShape="1">
        <a:blip xmlns:r="http://schemas.openxmlformats.org/officeDocument/2006/relationships" r:embed="rId4"/>
        <a:srcRect r="10085"/>
        <a:stretch/>
      </xdr:blipFill>
      <xdr:spPr>
        <a:xfrm>
          <a:off x="203406" y="4852146"/>
          <a:ext cx="11935858" cy="3361766"/>
        </a:xfrm>
        <a:prstGeom prst="rect">
          <a:avLst/>
        </a:prstGeom>
      </xdr:spPr>
    </xdr:pic>
    <xdr:clientData/>
  </xdr:twoCellAnchor>
  <xdr:twoCellAnchor>
    <xdr:from>
      <xdr:col>1</xdr:col>
      <xdr:colOff>56030</xdr:colOff>
      <xdr:row>18</xdr:row>
      <xdr:rowOff>89647</xdr:rowOff>
    </xdr:from>
    <xdr:to>
      <xdr:col>3</xdr:col>
      <xdr:colOff>66911</xdr:colOff>
      <xdr:row>22</xdr:row>
      <xdr:rowOff>66172</xdr:rowOff>
    </xdr:to>
    <xdr:sp macro="" textlink="">
      <xdr:nvSpPr>
        <xdr:cNvPr id="10" name="Legende: Linie 9">
          <a:extLst>
            <a:ext uri="{FF2B5EF4-FFF2-40B4-BE49-F238E27FC236}">
              <a16:creationId xmlns:a16="http://schemas.microsoft.com/office/drawing/2014/main" id="{EE0670F8-09EF-4CAD-8213-AB2E55691847}"/>
            </a:ext>
          </a:extLst>
        </xdr:cNvPr>
        <xdr:cNvSpPr/>
      </xdr:nvSpPr>
      <xdr:spPr>
        <a:xfrm>
          <a:off x="280148" y="4347882"/>
          <a:ext cx="1635734" cy="570437"/>
        </a:xfrm>
        <a:prstGeom prst="borderCallout1">
          <a:avLst>
            <a:gd name="adj1" fmla="val 102214"/>
            <a:gd name="adj2" fmla="val 7704"/>
            <a:gd name="adj3" fmla="val 288890"/>
            <a:gd name="adj4" fmla="val 2781"/>
          </a:avLst>
        </a:prstGeom>
        <a:solidFill>
          <a:schemeClr val="bg1"/>
        </a:solidFill>
        <a:ln w="6350">
          <a:solidFill>
            <a:schemeClr val="accent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00" b="1">
              <a:solidFill>
                <a:sysClr val="windowText" lastClr="000000"/>
              </a:solidFill>
              <a:latin typeface="Arial" panose="020B0604020202020204" pitchFamily="34" charset="0"/>
              <a:cs typeface="Arial" panose="020B0604020202020204" pitchFamily="34" charset="0"/>
            </a:rPr>
            <a:t>Prozesssteckbrief</a:t>
          </a:r>
          <a:r>
            <a:rPr lang="de-DE" sz="1000" b="1" baseline="0">
              <a:solidFill>
                <a:sysClr val="windowText" lastClr="000000"/>
              </a:solidFill>
              <a:latin typeface="Arial" panose="020B0604020202020204" pitchFamily="34" charset="0"/>
              <a:cs typeface="Arial" panose="020B0604020202020204" pitchFamily="34" charset="0"/>
            </a:rPr>
            <a:t> anzeigen</a:t>
          </a:r>
          <a:endParaRPr lang="de-DE" sz="10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6</xdr:col>
      <xdr:colOff>459441</xdr:colOff>
      <xdr:row>18</xdr:row>
      <xdr:rowOff>123264</xdr:rowOff>
    </xdr:from>
    <xdr:to>
      <xdr:col>8</xdr:col>
      <xdr:colOff>60728</xdr:colOff>
      <xdr:row>22</xdr:row>
      <xdr:rowOff>88837</xdr:rowOff>
    </xdr:to>
    <xdr:sp macro="" textlink="">
      <xdr:nvSpPr>
        <xdr:cNvPr id="11" name="Legende: Linie 10">
          <a:extLst>
            <a:ext uri="{FF2B5EF4-FFF2-40B4-BE49-F238E27FC236}">
              <a16:creationId xmlns:a16="http://schemas.microsoft.com/office/drawing/2014/main" id="{3F4DD02F-CB99-47B5-9D37-2C3CB72E649B}"/>
            </a:ext>
          </a:extLst>
        </xdr:cNvPr>
        <xdr:cNvSpPr/>
      </xdr:nvSpPr>
      <xdr:spPr>
        <a:xfrm>
          <a:off x="6331323" y="4381499"/>
          <a:ext cx="1640758" cy="559485"/>
        </a:xfrm>
        <a:prstGeom prst="borderCallout1">
          <a:avLst>
            <a:gd name="adj1" fmla="val 46971"/>
            <a:gd name="adj2" fmla="val -398"/>
            <a:gd name="adj3" fmla="val 98951"/>
            <a:gd name="adj4" fmla="val -22219"/>
          </a:avLst>
        </a:prstGeom>
        <a:solidFill>
          <a:schemeClr val="bg1"/>
        </a:solidFill>
        <a:ln w="6350">
          <a:solidFill>
            <a:schemeClr val="accent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00" b="1">
              <a:solidFill>
                <a:sysClr val="windowText" lastClr="000000"/>
              </a:solidFill>
              <a:latin typeface="Arial" panose="020B0604020202020204" pitchFamily="34" charset="0"/>
              <a:cs typeface="Arial" panose="020B0604020202020204" pitchFamily="34" charset="0"/>
            </a:rPr>
            <a:t>Abnahmekriterien zur Prüffrage anzeigen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1291167</xdr:colOff>
      <xdr:row>1</xdr:row>
      <xdr:rowOff>161776</xdr:rowOff>
    </xdr:from>
    <xdr:to>
      <xdr:col>4</xdr:col>
      <xdr:colOff>525072</xdr:colOff>
      <xdr:row>2</xdr:row>
      <xdr:rowOff>153706</xdr:rowOff>
    </xdr:to>
    <xdr:grpSp>
      <xdr:nvGrpSpPr>
        <xdr:cNvPr id="30" name="Group 2">
          <a:hlinkClick xmlns:r="http://schemas.openxmlformats.org/officeDocument/2006/relationships" r:id="rId1"/>
          <a:extLst>
            <a:ext uri="{FF2B5EF4-FFF2-40B4-BE49-F238E27FC236}">
              <a16:creationId xmlns:a16="http://schemas.microsoft.com/office/drawing/2014/main" id="{BB394447-3563-4F72-9C6C-16AF652B7088}"/>
            </a:ext>
          </a:extLst>
        </xdr:cNvPr>
        <xdr:cNvGrpSpPr>
          <a:grpSpLocks noChangeAspect="1"/>
        </xdr:cNvGrpSpPr>
      </xdr:nvGrpSpPr>
      <xdr:grpSpPr>
        <a:xfrm>
          <a:off x="1702049" y="341070"/>
          <a:ext cx="2102611" cy="171224"/>
          <a:chOff x="952863" y="87272"/>
          <a:chExt cx="1660289" cy="211849"/>
        </a:xfrm>
      </xdr:grpSpPr>
      <xdr:sp macro="" textlink="">
        <xdr:nvSpPr>
          <xdr:cNvPr id="34" name="Rectangle: Rounded Corners 9">
            <a:extLst>
              <a:ext uri="{FF2B5EF4-FFF2-40B4-BE49-F238E27FC236}">
                <a16:creationId xmlns:a16="http://schemas.microsoft.com/office/drawing/2014/main" id="{8AABA45B-CF08-4D48-9955-8B1F7285882F}"/>
              </a:ext>
            </a:extLst>
          </xdr:cNvPr>
          <xdr:cNvSpPr/>
        </xdr:nvSpPr>
        <xdr:spPr bwMode="auto">
          <a:xfrm>
            <a:off x="952863" y="87272"/>
            <a:ext cx="1660289"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Zurück zum Dashboard </a:t>
            </a:r>
          </a:p>
        </xdr:txBody>
      </xdr:sp>
      <xdr:sp macro="" textlink="">
        <xdr:nvSpPr>
          <xdr:cNvPr id="35" name="Freeform 22">
            <a:extLst>
              <a:ext uri="{FF2B5EF4-FFF2-40B4-BE49-F238E27FC236}">
                <a16:creationId xmlns:a16="http://schemas.microsoft.com/office/drawing/2014/main" id="{3AA95ED4-0BB9-4B3D-8FAB-536DE417225B}"/>
              </a:ext>
            </a:extLst>
          </xdr:cNvPr>
          <xdr:cNvSpPr>
            <a:spLocks noChangeAspect="1" noEditPoints="1"/>
          </xdr:cNvSpPr>
        </xdr:nvSpPr>
        <xdr:spPr bwMode="auto">
          <a:xfrm>
            <a:off x="1001492"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4</xdr:col>
      <xdr:colOff>568944</xdr:colOff>
      <xdr:row>1</xdr:row>
      <xdr:rowOff>161776</xdr:rowOff>
    </xdr:from>
    <xdr:to>
      <xdr:col>5</xdr:col>
      <xdr:colOff>1016218</xdr:colOff>
      <xdr:row>2</xdr:row>
      <xdr:rowOff>153706</xdr:rowOff>
    </xdr:to>
    <xdr:grpSp>
      <xdr:nvGrpSpPr>
        <xdr:cNvPr id="31" name="Group 3">
          <a:hlinkClick xmlns:r="http://schemas.openxmlformats.org/officeDocument/2006/relationships" r:id="rId2"/>
          <a:extLst>
            <a:ext uri="{FF2B5EF4-FFF2-40B4-BE49-F238E27FC236}">
              <a16:creationId xmlns:a16="http://schemas.microsoft.com/office/drawing/2014/main" id="{BFA22C51-D5C1-443C-B827-6468CC9D6DCC}"/>
            </a:ext>
          </a:extLst>
        </xdr:cNvPr>
        <xdr:cNvGrpSpPr>
          <a:grpSpLocks noChangeAspect="1"/>
        </xdr:cNvGrpSpPr>
      </xdr:nvGrpSpPr>
      <xdr:grpSpPr>
        <a:xfrm>
          <a:off x="3848532" y="341070"/>
          <a:ext cx="1754627" cy="171224"/>
          <a:chOff x="13710557" y="484770"/>
          <a:chExt cx="1279072" cy="239129"/>
        </a:xfrm>
      </xdr:grpSpPr>
      <xdr:sp macro="" textlink="">
        <xdr:nvSpPr>
          <xdr:cNvPr id="32" name="Rectangle: Rounded Corners 7">
            <a:hlinkClick xmlns:r="http://schemas.openxmlformats.org/officeDocument/2006/relationships" r:id="rId2"/>
            <a:extLst>
              <a:ext uri="{FF2B5EF4-FFF2-40B4-BE49-F238E27FC236}">
                <a16:creationId xmlns:a16="http://schemas.microsoft.com/office/drawing/2014/main" id="{8F347B29-A9B4-400A-B742-7079A6813F4C}"/>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33" name="Arrow: Right 8">
            <a:extLst>
              <a:ext uri="{FF2B5EF4-FFF2-40B4-BE49-F238E27FC236}">
                <a16:creationId xmlns:a16="http://schemas.microsoft.com/office/drawing/2014/main" id="{BA7760EB-A323-466B-B9CC-3CF54535237C}"/>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10" name="Group 2">
          <a:extLst>
            <a:ext uri="{FF2B5EF4-FFF2-40B4-BE49-F238E27FC236}">
              <a16:creationId xmlns:a16="http://schemas.microsoft.com/office/drawing/2014/main" id="{678CD395-9DD4-4C9D-931A-9B342DB92109}"/>
            </a:ext>
          </a:extLst>
        </xdr:cNvPr>
        <xdr:cNvGrpSpPr>
          <a:grpSpLocks noChangeAspect="1"/>
        </xdr:cNvGrpSpPr>
      </xdr:nvGrpSpPr>
      <xdr:grpSpPr>
        <a:xfrm>
          <a:off x="260350" y="162536"/>
          <a:ext cx="2442368" cy="193063"/>
          <a:chOff x="-28558" y="87272"/>
          <a:chExt cx="2110991" cy="211849"/>
        </a:xfrm>
      </xdr:grpSpPr>
      <xdr:sp macro="" textlink="">
        <xdr:nvSpPr>
          <xdr:cNvPr id="14" name="Rectangle: Rounded Corners 9">
            <a:hlinkClick xmlns:r="http://schemas.openxmlformats.org/officeDocument/2006/relationships" r:id="rId1"/>
            <a:extLst>
              <a:ext uri="{FF2B5EF4-FFF2-40B4-BE49-F238E27FC236}">
                <a16:creationId xmlns:a16="http://schemas.microsoft.com/office/drawing/2014/main" id="{31CC6878-3023-4B24-853B-0C0B0A996A23}"/>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15" name="Freeform 22">
            <a:extLst>
              <a:ext uri="{FF2B5EF4-FFF2-40B4-BE49-F238E27FC236}">
                <a16:creationId xmlns:a16="http://schemas.microsoft.com/office/drawing/2014/main" id="{2C8A6E6A-619C-4FF1-9A2E-C934819F345D}"/>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942761</xdr:colOff>
      <xdr:row>1</xdr:row>
      <xdr:rowOff>1190</xdr:rowOff>
    </xdr:from>
    <xdr:to>
      <xdr:col>4</xdr:col>
      <xdr:colOff>561977</xdr:colOff>
      <xdr:row>2</xdr:row>
      <xdr:rowOff>34312</xdr:rowOff>
    </xdr:to>
    <xdr:grpSp>
      <xdr:nvGrpSpPr>
        <xdr:cNvPr id="11" name="Group 3">
          <a:extLst>
            <a:ext uri="{FF2B5EF4-FFF2-40B4-BE49-F238E27FC236}">
              <a16:creationId xmlns:a16="http://schemas.microsoft.com/office/drawing/2014/main" id="{53735765-FC9A-444D-8470-1D72AF5C9F66}"/>
            </a:ext>
          </a:extLst>
        </xdr:cNvPr>
        <xdr:cNvGrpSpPr>
          <a:grpSpLocks noChangeAspect="1"/>
        </xdr:cNvGrpSpPr>
      </xdr:nvGrpSpPr>
      <xdr:grpSpPr>
        <a:xfrm>
          <a:off x="2752511" y="159940"/>
          <a:ext cx="1505166" cy="191872"/>
          <a:chOff x="13710557" y="484770"/>
          <a:chExt cx="1279072" cy="239129"/>
        </a:xfrm>
      </xdr:grpSpPr>
      <xdr:sp macro="" textlink="">
        <xdr:nvSpPr>
          <xdr:cNvPr id="12" name="Rectangle: Rounded Corners 7">
            <a:hlinkClick xmlns:r="http://schemas.openxmlformats.org/officeDocument/2006/relationships" r:id="rId2"/>
            <a:extLst>
              <a:ext uri="{FF2B5EF4-FFF2-40B4-BE49-F238E27FC236}">
                <a16:creationId xmlns:a16="http://schemas.microsoft.com/office/drawing/2014/main" id="{F83F058E-3177-4788-936B-27B21E411E06}"/>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13" name="Arrow: Right 8">
            <a:extLst>
              <a:ext uri="{FF2B5EF4-FFF2-40B4-BE49-F238E27FC236}">
                <a16:creationId xmlns:a16="http://schemas.microsoft.com/office/drawing/2014/main" id="{EAAB7D9D-D7B6-454E-AD20-D13452ACAAE1}"/>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D99F3555-0412-425F-8C38-C8440042FBAA}"/>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309052C9-827F-49A2-A5C3-A6498F0E36E4}"/>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A8659386-97D8-4BF4-BE89-614C3109A06C}"/>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942761</xdr:colOff>
      <xdr:row>1</xdr:row>
      <xdr:rowOff>1190</xdr:rowOff>
    </xdr:from>
    <xdr:to>
      <xdr:col>4</xdr:col>
      <xdr:colOff>561977</xdr:colOff>
      <xdr:row>2</xdr:row>
      <xdr:rowOff>34312</xdr:rowOff>
    </xdr:to>
    <xdr:grpSp>
      <xdr:nvGrpSpPr>
        <xdr:cNvPr id="5" name="Group 3">
          <a:extLst>
            <a:ext uri="{FF2B5EF4-FFF2-40B4-BE49-F238E27FC236}">
              <a16:creationId xmlns:a16="http://schemas.microsoft.com/office/drawing/2014/main" id="{6CFC75F6-C09F-4146-9F64-E505B8EB298A}"/>
            </a:ext>
          </a:extLst>
        </xdr:cNvPr>
        <xdr:cNvGrpSpPr>
          <a:grpSpLocks noChangeAspect="1"/>
        </xdr:cNvGrpSpPr>
      </xdr:nvGrpSpPr>
      <xdr:grpSpPr>
        <a:xfrm>
          <a:off x="2756039" y="163468"/>
          <a:ext cx="1503049" cy="1954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BC9839D2-C705-48B8-956D-166EBF257161}"/>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EA7BA0A2-5FCA-4C0A-B1E0-BE5EEC50BB71}"/>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E820C6C4-73DD-4023-90D8-16E63B4231C9}"/>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272F6D20-3132-4CAB-8953-90D83AFC4CDD}"/>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D2CA5887-E167-483F-A55A-48F0912F80E7}"/>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942761</xdr:colOff>
      <xdr:row>1</xdr:row>
      <xdr:rowOff>1190</xdr:rowOff>
    </xdr:from>
    <xdr:to>
      <xdr:col>4</xdr:col>
      <xdr:colOff>561977</xdr:colOff>
      <xdr:row>2</xdr:row>
      <xdr:rowOff>34312</xdr:rowOff>
    </xdr:to>
    <xdr:grpSp>
      <xdr:nvGrpSpPr>
        <xdr:cNvPr id="5" name="Group 3">
          <a:extLst>
            <a:ext uri="{FF2B5EF4-FFF2-40B4-BE49-F238E27FC236}">
              <a16:creationId xmlns:a16="http://schemas.microsoft.com/office/drawing/2014/main" id="{30B93BB0-0AF5-4795-84EC-B9E7CFCB580C}"/>
            </a:ext>
          </a:extLst>
        </xdr:cNvPr>
        <xdr:cNvGrpSpPr>
          <a:grpSpLocks noChangeAspect="1"/>
        </xdr:cNvGrpSpPr>
      </xdr:nvGrpSpPr>
      <xdr:grpSpPr>
        <a:xfrm>
          <a:off x="2756039" y="163468"/>
          <a:ext cx="1503049" cy="1954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0F1B5DD7-48BD-43D8-A61D-2495A53BEE54}"/>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754D274B-C31E-4F1C-A2C8-B5063153029E}"/>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C652F8AB-CF76-40A0-A63C-D43F7862C20E}"/>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5A7CD3B0-C2CD-44D6-8D72-80B8D8638123}"/>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0E37FEAC-68D5-426D-A888-8FE6453F6300}"/>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942761</xdr:colOff>
      <xdr:row>1</xdr:row>
      <xdr:rowOff>1190</xdr:rowOff>
    </xdr:from>
    <xdr:to>
      <xdr:col>4</xdr:col>
      <xdr:colOff>561977</xdr:colOff>
      <xdr:row>2</xdr:row>
      <xdr:rowOff>34312</xdr:rowOff>
    </xdr:to>
    <xdr:grpSp>
      <xdr:nvGrpSpPr>
        <xdr:cNvPr id="5" name="Group 3">
          <a:extLst>
            <a:ext uri="{FF2B5EF4-FFF2-40B4-BE49-F238E27FC236}">
              <a16:creationId xmlns:a16="http://schemas.microsoft.com/office/drawing/2014/main" id="{C15DFCAD-40AA-45DF-A05A-062CBA4EBC8C}"/>
            </a:ext>
          </a:extLst>
        </xdr:cNvPr>
        <xdr:cNvGrpSpPr>
          <a:grpSpLocks noChangeAspect="1"/>
        </xdr:cNvGrpSpPr>
      </xdr:nvGrpSpPr>
      <xdr:grpSpPr>
        <a:xfrm>
          <a:off x="2756039" y="163468"/>
          <a:ext cx="1503049" cy="1954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C8E85253-DD5F-408C-BC4F-FC860BF649DE}"/>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02D143DB-DE4B-4597-B511-7E4BA19FDD44}"/>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BFEDE3E5-7785-4CCE-AD9C-6138A2B8E254}"/>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52B706A3-CA03-4DB0-9738-20DC58ADB108}"/>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14BB0373-1E4D-4269-8ED0-5A46B43BE312}"/>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942761</xdr:colOff>
      <xdr:row>1</xdr:row>
      <xdr:rowOff>1190</xdr:rowOff>
    </xdr:from>
    <xdr:to>
      <xdr:col>4</xdr:col>
      <xdr:colOff>561977</xdr:colOff>
      <xdr:row>2</xdr:row>
      <xdr:rowOff>34312</xdr:rowOff>
    </xdr:to>
    <xdr:grpSp>
      <xdr:nvGrpSpPr>
        <xdr:cNvPr id="5" name="Group 3">
          <a:extLst>
            <a:ext uri="{FF2B5EF4-FFF2-40B4-BE49-F238E27FC236}">
              <a16:creationId xmlns:a16="http://schemas.microsoft.com/office/drawing/2014/main" id="{2DC3BEB6-CAE7-460A-A393-74C455AD9F65}"/>
            </a:ext>
          </a:extLst>
        </xdr:cNvPr>
        <xdr:cNvGrpSpPr>
          <a:grpSpLocks noChangeAspect="1"/>
        </xdr:cNvGrpSpPr>
      </xdr:nvGrpSpPr>
      <xdr:grpSpPr>
        <a:xfrm>
          <a:off x="2756039" y="163468"/>
          <a:ext cx="1503049" cy="1954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8BCD5915-612C-4B5D-BCC6-D19903F1EA58}"/>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BBC040CE-1738-4D3C-A4C5-88B5706BDBBA}"/>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8715B383-0D78-4FA3-A675-D4012347B816}"/>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D9CD17FB-9C77-453A-8F4C-8457E72A21B8}"/>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6338C438-F6E0-425E-BF74-4B4D66DF09B4}"/>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942761</xdr:colOff>
      <xdr:row>1</xdr:row>
      <xdr:rowOff>1190</xdr:rowOff>
    </xdr:from>
    <xdr:to>
      <xdr:col>4</xdr:col>
      <xdr:colOff>561977</xdr:colOff>
      <xdr:row>2</xdr:row>
      <xdr:rowOff>34312</xdr:rowOff>
    </xdr:to>
    <xdr:grpSp>
      <xdr:nvGrpSpPr>
        <xdr:cNvPr id="5" name="Group 3">
          <a:extLst>
            <a:ext uri="{FF2B5EF4-FFF2-40B4-BE49-F238E27FC236}">
              <a16:creationId xmlns:a16="http://schemas.microsoft.com/office/drawing/2014/main" id="{981B3DDB-C37A-49CE-8928-18883CDFADC2}"/>
            </a:ext>
          </a:extLst>
        </xdr:cNvPr>
        <xdr:cNvGrpSpPr>
          <a:grpSpLocks noChangeAspect="1"/>
        </xdr:cNvGrpSpPr>
      </xdr:nvGrpSpPr>
      <xdr:grpSpPr>
        <a:xfrm>
          <a:off x="2756039" y="163468"/>
          <a:ext cx="1503049" cy="1954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CB331767-8600-4120-85C7-2521FDE84827}"/>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B71A6D04-1053-45E1-AB6F-4F859932BEE2}"/>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F5CC481A-BCE3-4343-A1FD-324AC8DF3A24}"/>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034F3632-6D6A-49B2-950A-648ED04F6D04}"/>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0EDF57CB-CD0C-480C-B64E-10DA76628341}"/>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942761</xdr:colOff>
      <xdr:row>1</xdr:row>
      <xdr:rowOff>1190</xdr:rowOff>
    </xdr:from>
    <xdr:to>
      <xdr:col>4</xdr:col>
      <xdr:colOff>561977</xdr:colOff>
      <xdr:row>2</xdr:row>
      <xdr:rowOff>34312</xdr:rowOff>
    </xdr:to>
    <xdr:grpSp>
      <xdr:nvGrpSpPr>
        <xdr:cNvPr id="5" name="Group 3">
          <a:extLst>
            <a:ext uri="{FF2B5EF4-FFF2-40B4-BE49-F238E27FC236}">
              <a16:creationId xmlns:a16="http://schemas.microsoft.com/office/drawing/2014/main" id="{37E4FB75-A292-4478-99AF-92527E4BDCFB}"/>
            </a:ext>
          </a:extLst>
        </xdr:cNvPr>
        <xdr:cNvGrpSpPr>
          <a:grpSpLocks noChangeAspect="1"/>
        </xdr:cNvGrpSpPr>
      </xdr:nvGrpSpPr>
      <xdr:grpSpPr>
        <a:xfrm>
          <a:off x="2756039" y="163468"/>
          <a:ext cx="1503049" cy="1954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D4B9BABA-B524-48CE-AD78-670169B73167}"/>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1EEBF004-2CC9-4BA1-A030-B0861875E0AB}"/>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92BBF892-557D-4A34-9BE7-7F1F3AD85F91}"/>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023E2B8F-BC86-4589-855C-C68C21786474}"/>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FF768726-B46B-4287-B156-A751BD492F0A}"/>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942761</xdr:colOff>
      <xdr:row>1</xdr:row>
      <xdr:rowOff>1190</xdr:rowOff>
    </xdr:from>
    <xdr:to>
      <xdr:col>4</xdr:col>
      <xdr:colOff>561977</xdr:colOff>
      <xdr:row>2</xdr:row>
      <xdr:rowOff>34312</xdr:rowOff>
    </xdr:to>
    <xdr:grpSp>
      <xdr:nvGrpSpPr>
        <xdr:cNvPr id="5" name="Group 3">
          <a:extLst>
            <a:ext uri="{FF2B5EF4-FFF2-40B4-BE49-F238E27FC236}">
              <a16:creationId xmlns:a16="http://schemas.microsoft.com/office/drawing/2014/main" id="{5321337A-0871-4E2C-8C64-99884A8AD2C8}"/>
            </a:ext>
          </a:extLst>
        </xdr:cNvPr>
        <xdr:cNvGrpSpPr>
          <a:grpSpLocks noChangeAspect="1"/>
        </xdr:cNvGrpSpPr>
      </xdr:nvGrpSpPr>
      <xdr:grpSpPr>
        <a:xfrm>
          <a:off x="2756039" y="163468"/>
          <a:ext cx="1503049" cy="1954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52190716-673E-4780-952F-E7AAA00EB05D}"/>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5B1E0425-7A39-4F36-96BE-AAB6F3303A08}"/>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57E8B1F6-293E-4460-A186-37D72FCE5DCE}"/>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09BBAAFB-5F4D-471C-8FBA-5AF8433EA366}"/>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1909403A-811C-4891-9FAB-B10557572D72}"/>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942761</xdr:colOff>
      <xdr:row>1</xdr:row>
      <xdr:rowOff>1190</xdr:rowOff>
    </xdr:from>
    <xdr:to>
      <xdr:col>4</xdr:col>
      <xdr:colOff>561977</xdr:colOff>
      <xdr:row>2</xdr:row>
      <xdr:rowOff>34312</xdr:rowOff>
    </xdr:to>
    <xdr:grpSp>
      <xdr:nvGrpSpPr>
        <xdr:cNvPr id="5" name="Group 3">
          <a:extLst>
            <a:ext uri="{FF2B5EF4-FFF2-40B4-BE49-F238E27FC236}">
              <a16:creationId xmlns:a16="http://schemas.microsoft.com/office/drawing/2014/main" id="{DA482996-4B42-4AE1-9DD1-D319B0F59301}"/>
            </a:ext>
          </a:extLst>
        </xdr:cNvPr>
        <xdr:cNvGrpSpPr>
          <a:grpSpLocks noChangeAspect="1"/>
        </xdr:cNvGrpSpPr>
      </xdr:nvGrpSpPr>
      <xdr:grpSpPr>
        <a:xfrm>
          <a:off x="2756039" y="163468"/>
          <a:ext cx="1503049" cy="1954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1DBE6EFF-1299-47B7-AE88-84D8367DC484}"/>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0DA61254-541E-4050-AB4B-52F0D115EF3D}"/>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ED3D5664-969B-41B2-A3C5-B362F2856646}"/>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0ADD81A2-CF7C-47C5-99C6-0BC151747C39}"/>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4A7DB235-5015-4DB2-9BAF-098A9A316B9E}"/>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942761</xdr:colOff>
      <xdr:row>1</xdr:row>
      <xdr:rowOff>1190</xdr:rowOff>
    </xdr:from>
    <xdr:to>
      <xdr:col>4</xdr:col>
      <xdr:colOff>561977</xdr:colOff>
      <xdr:row>2</xdr:row>
      <xdr:rowOff>34312</xdr:rowOff>
    </xdr:to>
    <xdr:grpSp>
      <xdr:nvGrpSpPr>
        <xdr:cNvPr id="5" name="Group 3">
          <a:hlinkClick xmlns:r="http://schemas.openxmlformats.org/officeDocument/2006/relationships" r:id="rId2"/>
          <a:extLst>
            <a:ext uri="{FF2B5EF4-FFF2-40B4-BE49-F238E27FC236}">
              <a16:creationId xmlns:a16="http://schemas.microsoft.com/office/drawing/2014/main" id="{B2F81872-ADDF-44A7-B3E4-A17C12AA76B9}"/>
            </a:ext>
          </a:extLst>
        </xdr:cNvPr>
        <xdr:cNvGrpSpPr>
          <a:grpSpLocks noChangeAspect="1"/>
        </xdr:cNvGrpSpPr>
      </xdr:nvGrpSpPr>
      <xdr:grpSpPr>
        <a:xfrm>
          <a:off x="2756039" y="163468"/>
          <a:ext cx="1503049" cy="1954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F07E4932-A2C7-4F12-87BB-2A484387DB15}"/>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EA8016BD-C349-4D3D-8130-23D5B306B32B}"/>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E02EE451-C58B-404D-BE65-4019861C419E}"/>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F71F62A6-8C61-424D-A831-1353344DB708}"/>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7E0583E4-C557-414C-B638-D188F984E3AD}"/>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942761</xdr:colOff>
      <xdr:row>1</xdr:row>
      <xdr:rowOff>1190</xdr:rowOff>
    </xdr:from>
    <xdr:to>
      <xdr:col>4</xdr:col>
      <xdr:colOff>561977</xdr:colOff>
      <xdr:row>2</xdr:row>
      <xdr:rowOff>34312</xdr:rowOff>
    </xdr:to>
    <xdr:grpSp>
      <xdr:nvGrpSpPr>
        <xdr:cNvPr id="5" name="Group 3">
          <a:extLst>
            <a:ext uri="{FF2B5EF4-FFF2-40B4-BE49-F238E27FC236}">
              <a16:creationId xmlns:a16="http://schemas.microsoft.com/office/drawing/2014/main" id="{CC690DE4-7478-40AD-8F8D-0AF8A91157C0}"/>
            </a:ext>
          </a:extLst>
        </xdr:cNvPr>
        <xdr:cNvGrpSpPr>
          <a:grpSpLocks noChangeAspect="1"/>
        </xdr:cNvGrpSpPr>
      </xdr:nvGrpSpPr>
      <xdr:grpSpPr>
        <a:xfrm>
          <a:off x="2756039" y="163468"/>
          <a:ext cx="1503049" cy="1954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394E3727-AE8F-43C9-AD52-9DC7655BB0CB}"/>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EACF766E-C663-4FCF-A68A-CEBAC03B62DC}"/>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B214120E-7814-4A42-BE28-D803752C213D}"/>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99AC0F67-7386-49F7-B05E-FA243BC01017}"/>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BE134BEB-A1BA-488E-A8B7-5B0C0A10B4F1}"/>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942761</xdr:colOff>
      <xdr:row>1</xdr:row>
      <xdr:rowOff>1190</xdr:rowOff>
    </xdr:from>
    <xdr:to>
      <xdr:col>4</xdr:col>
      <xdr:colOff>561977</xdr:colOff>
      <xdr:row>2</xdr:row>
      <xdr:rowOff>34312</xdr:rowOff>
    </xdr:to>
    <xdr:grpSp>
      <xdr:nvGrpSpPr>
        <xdr:cNvPr id="5" name="Group 3">
          <a:extLst>
            <a:ext uri="{FF2B5EF4-FFF2-40B4-BE49-F238E27FC236}">
              <a16:creationId xmlns:a16="http://schemas.microsoft.com/office/drawing/2014/main" id="{063ACA27-5C4A-440F-B637-0BDBCB556782}"/>
            </a:ext>
          </a:extLst>
        </xdr:cNvPr>
        <xdr:cNvGrpSpPr>
          <a:grpSpLocks noChangeAspect="1"/>
        </xdr:cNvGrpSpPr>
      </xdr:nvGrpSpPr>
      <xdr:grpSpPr>
        <a:xfrm>
          <a:off x="2756039" y="163468"/>
          <a:ext cx="1503049" cy="1954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9E18590F-12FB-4D83-A571-159EBD49B75D}"/>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A3698DA9-C3BB-4CB8-947C-2794D0A5A783}"/>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C6A8EA03-90CA-48F6-B6BF-9653DA03B008}"/>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90E66FA2-865A-461E-8B91-579D094E0E80}"/>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DB9FBA46-550C-4BF7-9F8B-D33725EB556B}"/>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942761</xdr:colOff>
      <xdr:row>1</xdr:row>
      <xdr:rowOff>1190</xdr:rowOff>
    </xdr:from>
    <xdr:to>
      <xdr:col>4</xdr:col>
      <xdr:colOff>561977</xdr:colOff>
      <xdr:row>2</xdr:row>
      <xdr:rowOff>34312</xdr:rowOff>
    </xdr:to>
    <xdr:grpSp>
      <xdr:nvGrpSpPr>
        <xdr:cNvPr id="5" name="Group 3">
          <a:extLst>
            <a:ext uri="{FF2B5EF4-FFF2-40B4-BE49-F238E27FC236}">
              <a16:creationId xmlns:a16="http://schemas.microsoft.com/office/drawing/2014/main" id="{414BF6E7-55FE-4878-BDEC-26FC41672F07}"/>
            </a:ext>
          </a:extLst>
        </xdr:cNvPr>
        <xdr:cNvGrpSpPr>
          <a:grpSpLocks noChangeAspect="1"/>
        </xdr:cNvGrpSpPr>
      </xdr:nvGrpSpPr>
      <xdr:grpSpPr>
        <a:xfrm>
          <a:off x="2756039" y="163468"/>
          <a:ext cx="1503049" cy="1954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89E7348F-2E71-40C0-BBB6-20C29DB46734}"/>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9F952F26-A8F4-4F74-BD8F-0E03755245AD}"/>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E0C5EA8C-CC75-48E0-B1EF-43CFD599EC8E}"/>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E2DB63AF-8F91-4E62-8D9A-7A9FB81ECA37}"/>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AF310BD2-5911-4750-A878-F30F5A582859}"/>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971176</xdr:colOff>
      <xdr:row>1</xdr:row>
      <xdr:rowOff>7471</xdr:rowOff>
    </xdr:from>
    <xdr:to>
      <xdr:col>4</xdr:col>
      <xdr:colOff>590392</xdr:colOff>
      <xdr:row>2</xdr:row>
      <xdr:rowOff>40593</xdr:rowOff>
    </xdr:to>
    <xdr:grpSp>
      <xdr:nvGrpSpPr>
        <xdr:cNvPr id="5" name="Group 3">
          <a:extLst>
            <a:ext uri="{FF2B5EF4-FFF2-40B4-BE49-F238E27FC236}">
              <a16:creationId xmlns:a16="http://schemas.microsoft.com/office/drawing/2014/main" id="{DBE779C1-90E5-432F-9184-84E5BDEC7636}"/>
            </a:ext>
          </a:extLst>
        </xdr:cNvPr>
        <xdr:cNvGrpSpPr>
          <a:grpSpLocks noChangeAspect="1"/>
        </xdr:cNvGrpSpPr>
      </xdr:nvGrpSpPr>
      <xdr:grpSpPr>
        <a:xfrm>
          <a:off x="2784454" y="169749"/>
          <a:ext cx="1503049" cy="1954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476A5489-2336-4312-BCAD-7EAD957BB714}"/>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C34FF197-132D-4320-ACFC-16CBC02C1FA9}"/>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D84BB987-42F6-4292-8948-F2A27A62AB58}"/>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BEDEC0EA-2B92-43DA-819B-84963F5B3565}"/>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6B8740E7-DC41-4C5C-9A71-B1DE0B01A964}"/>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948764</xdr:colOff>
      <xdr:row>1</xdr:row>
      <xdr:rowOff>7471</xdr:rowOff>
    </xdr:from>
    <xdr:to>
      <xdr:col>4</xdr:col>
      <xdr:colOff>567980</xdr:colOff>
      <xdr:row>2</xdr:row>
      <xdr:rowOff>40593</xdr:rowOff>
    </xdr:to>
    <xdr:grpSp>
      <xdr:nvGrpSpPr>
        <xdr:cNvPr id="5" name="Group 3">
          <a:extLst>
            <a:ext uri="{FF2B5EF4-FFF2-40B4-BE49-F238E27FC236}">
              <a16:creationId xmlns:a16="http://schemas.microsoft.com/office/drawing/2014/main" id="{31196500-922C-4E83-A0D7-F94A871BCFA7}"/>
            </a:ext>
          </a:extLst>
        </xdr:cNvPr>
        <xdr:cNvGrpSpPr>
          <a:grpSpLocks noChangeAspect="1"/>
        </xdr:cNvGrpSpPr>
      </xdr:nvGrpSpPr>
      <xdr:grpSpPr>
        <a:xfrm>
          <a:off x="2762042" y="169749"/>
          <a:ext cx="1503049" cy="1954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FA89CC8A-CB5D-4DC2-B0FB-3327F0C72639}"/>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9FC829B1-BBB6-4713-841A-B02A305DE10C}"/>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35EECFF9-F7F1-4C37-AB65-EF5779AE4262}"/>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8D6A6D53-8E86-40AD-9A85-FAB2973ACAE9}"/>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FDFFEC6D-EC7E-4D9B-9B82-64AE4B8DA317}"/>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941294</xdr:colOff>
      <xdr:row>1</xdr:row>
      <xdr:rowOff>7471</xdr:rowOff>
    </xdr:from>
    <xdr:to>
      <xdr:col>4</xdr:col>
      <xdr:colOff>560510</xdr:colOff>
      <xdr:row>2</xdr:row>
      <xdr:rowOff>40593</xdr:rowOff>
    </xdr:to>
    <xdr:grpSp>
      <xdr:nvGrpSpPr>
        <xdr:cNvPr id="5" name="Group 3">
          <a:extLst>
            <a:ext uri="{FF2B5EF4-FFF2-40B4-BE49-F238E27FC236}">
              <a16:creationId xmlns:a16="http://schemas.microsoft.com/office/drawing/2014/main" id="{EAF83649-8E9D-4AF9-98FB-950DF766AA01}"/>
            </a:ext>
          </a:extLst>
        </xdr:cNvPr>
        <xdr:cNvGrpSpPr>
          <a:grpSpLocks noChangeAspect="1"/>
        </xdr:cNvGrpSpPr>
      </xdr:nvGrpSpPr>
      <xdr:grpSpPr>
        <a:xfrm>
          <a:off x="2754572" y="169749"/>
          <a:ext cx="1503049" cy="1954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657C8D96-2242-46A5-8DB6-C56657734C64}"/>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0E40B0CD-D0B9-4963-AED7-179291F25B3A}"/>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DEFE8E7A-C453-43CF-9B6F-DEA50E762122}"/>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1A6BE5CC-270A-480D-BC66-403D8EF93B96}"/>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CDAB3713-1719-4339-B27B-6949284ED9FF}"/>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941294</xdr:colOff>
      <xdr:row>1</xdr:row>
      <xdr:rowOff>0</xdr:rowOff>
    </xdr:from>
    <xdr:to>
      <xdr:col>4</xdr:col>
      <xdr:colOff>560510</xdr:colOff>
      <xdr:row>2</xdr:row>
      <xdr:rowOff>33122</xdr:rowOff>
    </xdr:to>
    <xdr:grpSp>
      <xdr:nvGrpSpPr>
        <xdr:cNvPr id="5" name="Group 3">
          <a:extLst>
            <a:ext uri="{FF2B5EF4-FFF2-40B4-BE49-F238E27FC236}">
              <a16:creationId xmlns:a16="http://schemas.microsoft.com/office/drawing/2014/main" id="{7CEE101F-DDD5-4B91-9859-6E1C9C014431}"/>
            </a:ext>
          </a:extLst>
        </xdr:cNvPr>
        <xdr:cNvGrpSpPr>
          <a:grpSpLocks noChangeAspect="1"/>
        </xdr:cNvGrpSpPr>
      </xdr:nvGrpSpPr>
      <xdr:grpSpPr>
        <a:xfrm>
          <a:off x="2754572" y="162278"/>
          <a:ext cx="1503049" cy="1954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A2B5DEE2-3D68-46E7-88FB-3A82C946D7AC}"/>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5CEE8219-EDB2-4F7E-8874-67BFA3BFF194}"/>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23.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2192B074-4A9D-4242-9725-290CD5C99E96}"/>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0A12F25C-E018-4424-8754-49BF9F6C5101}"/>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D590B062-A10A-493A-9DBE-DE51F508EFCF}"/>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963706</xdr:colOff>
      <xdr:row>1</xdr:row>
      <xdr:rowOff>7471</xdr:rowOff>
    </xdr:from>
    <xdr:to>
      <xdr:col>4</xdr:col>
      <xdr:colOff>582922</xdr:colOff>
      <xdr:row>2</xdr:row>
      <xdr:rowOff>40593</xdr:rowOff>
    </xdr:to>
    <xdr:grpSp>
      <xdr:nvGrpSpPr>
        <xdr:cNvPr id="5" name="Group 3">
          <a:extLst>
            <a:ext uri="{FF2B5EF4-FFF2-40B4-BE49-F238E27FC236}">
              <a16:creationId xmlns:a16="http://schemas.microsoft.com/office/drawing/2014/main" id="{13AEDA07-5C76-42D0-A668-ED69B4E2806F}"/>
            </a:ext>
          </a:extLst>
        </xdr:cNvPr>
        <xdr:cNvGrpSpPr>
          <a:grpSpLocks noChangeAspect="1"/>
        </xdr:cNvGrpSpPr>
      </xdr:nvGrpSpPr>
      <xdr:grpSpPr>
        <a:xfrm>
          <a:off x="2776984" y="169749"/>
          <a:ext cx="1503049" cy="1954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3B8BFD52-714C-4A65-91A7-624C967A2DCC}"/>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ECA3D44F-6F4C-4898-9ADB-4546D7387F47}"/>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CC331DB1-0DCB-44BB-9BBC-64CE3504EBB3}"/>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6A628DF3-6ADF-445C-8AEA-F3769BE593B6}"/>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7423149E-EC3E-42C7-AA6A-524AC9E08548}"/>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963706</xdr:colOff>
      <xdr:row>1</xdr:row>
      <xdr:rowOff>7471</xdr:rowOff>
    </xdr:from>
    <xdr:to>
      <xdr:col>4</xdr:col>
      <xdr:colOff>582922</xdr:colOff>
      <xdr:row>2</xdr:row>
      <xdr:rowOff>40593</xdr:rowOff>
    </xdr:to>
    <xdr:grpSp>
      <xdr:nvGrpSpPr>
        <xdr:cNvPr id="5" name="Group 3">
          <a:hlinkClick xmlns:r="http://schemas.openxmlformats.org/officeDocument/2006/relationships" r:id="rId2"/>
          <a:extLst>
            <a:ext uri="{FF2B5EF4-FFF2-40B4-BE49-F238E27FC236}">
              <a16:creationId xmlns:a16="http://schemas.microsoft.com/office/drawing/2014/main" id="{E7152D98-AA3F-42F6-90DE-2505ADB8D6C1}"/>
            </a:ext>
          </a:extLst>
        </xdr:cNvPr>
        <xdr:cNvGrpSpPr>
          <a:grpSpLocks noChangeAspect="1"/>
        </xdr:cNvGrpSpPr>
      </xdr:nvGrpSpPr>
      <xdr:grpSpPr>
        <a:xfrm>
          <a:off x="2776984" y="169749"/>
          <a:ext cx="1503049" cy="1954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89CB0012-1C2C-41E6-8C56-8DE96348CA78}"/>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BCD12CE6-F6A1-4A3E-8FC0-E02540D4F261}"/>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FAA1FF8B-B76F-4E0C-8606-C291D651B753}"/>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4646F821-0318-4540-93D8-10A5A806E82B}"/>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E0E2EBFF-B183-449A-A53F-8DE2A2457A7A}"/>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963706</xdr:colOff>
      <xdr:row>1</xdr:row>
      <xdr:rowOff>7471</xdr:rowOff>
    </xdr:from>
    <xdr:to>
      <xdr:col>4</xdr:col>
      <xdr:colOff>582922</xdr:colOff>
      <xdr:row>2</xdr:row>
      <xdr:rowOff>40593</xdr:rowOff>
    </xdr:to>
    <xdr:grpSp>
      <xdr:nvGrpSpPr>
        <xdr:cNvPr id="5" name="Group 3">
          <a:extLst>
            <a:ext uri="{FF2B5EF4-FFF2-40B4-BE49-F238E27FC236}">
              <a16:creationId xmlns:a16="http://schemas.microsoft.com/office/drawing/2014/main" id="{1B4F9F4D-2A49-4EB1-AA44-D0D9C50B758C}"/>
            </a:ext>
          </a:extLst>
        </xdr:cNvPr>
        <xdr:cNvGrpSpPr>
          <a:grpSpLocks noChangeAspect="1"/>
        </xdr:cNvGrpSpPr>
      </xdr:nvGrpSpPr>
      <xdr:grpSpPr>
        <a:xfrm>
          <a:off x="2776984" y="169749"/>
          <a:ext cx="1503049" cy="1954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7074BDCE-56C7-431D-92BC-78EACAB3546A}"/>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7BE2D377-F235-44D1-AA74-211613D34FE8}"/>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26.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7AE9AFCB-FD3A-487A-8BC2-B990C2D47E2D}"/>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291D82F4-E293-444F-9D86-F59519FA2F28}"/>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7F38935D-744F-4679-8A0A-1CFF98B9A591}"/>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963706</xdr:colOff>
      <xdr:row>1</xdr:row>
      <xdr:rowOff>7471</xdr:rowOff>
    </xdr:from>
    <xdr:to>
      <xdr:col>4</xdr:col>
      <xdr:colOff>582922</xdr:colOff>
      <xdr:row>2</xdr:row>
      <xdr:rowOff>40593</xdr:rowOff>
    </xdr:to>
    <xdr:grpSp>
      <xdr:nvGrpSpPr>
        <xdr:cNvPr id="5" name="Group 3">
          <a:extLst>
            <a:ext uri="{FF2B5EF4-FFF2-40B4-BE49-F238E27FC236}">
              <a16:creationId xmlns:a16="http://schemas.microsoft.com/office/drawing/2014/main" id="{B81F622A-B002-40F3-9478-470432386672}"/>
            </a:ext>
          </a:extLst>
        </xdr:cNvPr>
        <xdr:cNvGrpSpPr>
          <a:grpSpLocks noChangeAspect="1"/>
        </xdr:cNvGrpSpPr>
      </xdr:nvGrpSpPr>
      <xdr:grpSpPr>
        <a:xfrm>
          <a:off x="2776984" y="169749"/>
          <a:ext cx="1503049" cy="1954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C1D91EC8-2D83-4D24-86F9-CEB3B6F8FAF5}"/>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FC27E438-0830-4583-B591-0BD8ED649B7D}"/>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1D7EA1E3-0486-4C7E-9C0E-AC977DCEA38A}"/>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8E5B2720-9716-46B9-B6A3-CD80CBB45784}"/>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78707416-1598-46B1-8DEF-58E5711C2FB8}"/>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963706</xdr:colOff>
      <xdr:row>1</xdr:row>
      <xdr:rowOff>7471</xdr:rowOff>
    </xdr:from>
    <xdr:to>
      <xdr:col>4</xdr:col>
      <xdr:colOff>582922</xdr:colOff>
      <xdr:row>2</xdr:row>
      <xdr:rowOff>40593</xdr:rowOff>
    </xdr:to>
    <xdr:grpSp>
      <xdr:nvGrpSpPr>
        <xdr:cNvPr id="5" name="Group 3">
          <a:hlinkClick xmlns:r="http://schemas.openxmlformats.org/officeDocument/2006/relationships" r:id="rId2"/>
          <a:extLst>
            <a:ext uri="{FF2B5EF4-FFF2-40B4-BE49-F238E27FC236}">
              <a16:creationId xmlns:a16="http://schemas.microsoft.com/office/drawing/2014/main" id="{40733834-7EF0-4116-B744-C1EDBBC3DFD8}"/>
            </a:ext>
          </a:extLst>
        </xdr:cNvPr>
        <xdr:cNvGrpSpPr>
          <a:grpSpLocks noChangeAspect="1"/>
        </xdr:cNvGrpSpPr>
      </xdr:nvGrpSpPr>
      <xdr:grpSpPr>
        <a:xfrm>
          <a:off x="2776984" y="169749"/>
          <a:ext cx="1503049" cy="1954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2C43E38B-A4C2-4741-9057-282744C9BDFF}"/>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14B6EE4E-777B-4847-9BFD-418E95E19258}"/>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87597130-6900-406C-ACBB-80F3F485BF34}"/>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61A9E07A-0469-4B32-B0BD-979E52006A5C}"/>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213658D1-6528-4061-8F2F-F15D254F938C}"/>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963706</xdr:colOff>
      <xdr:row>1</xdr:row>
      <xdr:rowOff>7471</xdr:rowOff>
    </xdr:from>
    <xdr:to>
      <xdr:col>4</xdr:col>
      <xdr:colOff>582922</xdr:colOff>
      <xdr:row>2</xdr:row>
      <xdr:rowOff>40593</xdr:rowOff>
    </xdr:to>
    <xdr:grpSp>
      <xdr:nvGrpSpPr>
        <xdr:cNvPr id="5" name="Group 3">
          <a:extLst>
            <a:ext uri="{FF2B5EF4-FFF2-40B4-BE49-F238E27FC236}">
              <a16:creationId xmlns:a16="http://schemas.microsoft.com/office/drawing/2014/main" id="{E574AC0B-CC43-49CF-ACBC-1166511596FF}"/>
            </a:ext>
          </a:extLst>
        </xdr:cNvPr>
        <xdr:cNvGrpSpPr>
          <a:grpSpLocks noChangeAspect="1"/>
        </xdr:cNvGrpSpPr>
      </xdr:nvGrpSpPr>
      <xdr:grpSpPr>
        <a:xfrm>
          <a:off x="2776984" y="169749"/>
          <a:ext cx="1503049" cy="1954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B5B025E1-076A-4F3B-B4E3-C3B1B7CFCCF0}"/>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E02F5A6E-A057-46E2-B97A-1D7F688CE17A}"/>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29.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1A60BDAF-3B9C-4DCE-8EB8-84676C052F3E}"/>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8356890A-953F-4465-AFA7-FFAE2F74997B}"/>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161CBA08-660D-4A14-8B81-C29E9EF570CD}"/>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963706</xdr:colOff>
      <xdr:row>1</xdr:row>
      <xdr:rowOff>7471</xdr:rowOff>
    </xdr:from>
    <xdr:to>
      <xdr:col>4</xdr:col>
      <xdr:colOff>582922</xdr:colOff>
      <xdr:row>2</xdr:row>
      <xdr:rowOff>40593</xdr:rowOff>
    </xdr:to>
    <xdr:grpSp>
      <xdr:nvGrpSpPr>
        <xdr:cNvPr id="5" name="Group 3">
          <a:extLst>
            <a:ext uri="{FF2B5EF4-FFF2-40B4-BE49-F238E27FC236}">
              <a16:creationId xmlns:a16="http://schemas.microsoft.com/office/drawing/2014/main" id="{7FD6F356-592F-45E0-BF3D-728AA7D8808B}"/>
            </a:ext>
          </a:extLst>
        </xdr:cNvPr>
        <xdr:cNvGrpSpPr>
          <a:grpSpLocks noChangeAspect="1"/>
        </xdr:cNvGrpSpPr>
      </xdr:nvGrpSpPr>
      <xdr:grpSpPr>
        <a:xfrm>
          <a:off x="2776984" y="169749"/>
          <a:ext cx="1503049" cy="1954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0DC2E7B8-A0DD-413D-B3AB-4E8F320B8C0E}"/>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149B8314-09B9-46AE-8D16-04054DC47BD7}"/>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F9483A59-E164-46D2-A7E9-09EFDF3E69E9}"/>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437AE992-AE35-4218-8CD9-EE37202B898D}"/>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90F74B80-3D4F-49EF-B5CB-84EB04160846}"/>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963706</xdr:colOff>
      <xdr:row>1</xdr:row>
      <xdr:rowOff>7471</xdr:rowOff>
    </xdr:from>
    <xdr:to>
      <xdr:col>4</xdr:col>
      <xdr:colOff>582922</xdr:colOff>
      <xdr:row>2</xdr:row>
      <xdr:rowOff>40593</xdr:rowOff>
    </xdr:to>
    <xdr:grpSp>
      <xdr:nvGrpSpPr>
        <xdr:cNvPr id="5" name="Group 3">
          <a:extLst>
            <a:ext uri="{FF2B5EF4-FFF2-40B4-BE49-F238E27FC236}">
              <a16:creationId xmlns:a16="http://schemas.microsoft.com/office/drawing/2014/main" id="{9C67D68F-848C-48CE-8BB8-9A7574D6A109}"/>
            </a:ext>
          </a:extLst>
        </xdr:cNvPr>
        <xdr:cNvGrpSpPr>
          <a:grpSpLocks noChangeAspect="1"/>
        </xdr:cNvGrpSpPr>
      </xdr:nvGrpSpPr>
      <xdr:grpSpPr>
        <a:xfrm>
          <a:off x="2776984" y="169749"/>
          <a:ext cx="1503049" cy="1954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2EE52D77-0BD7-4994-B47B-7370D01C116C}"/>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792217BF-1020-4D4A-AA32-AD2A9998DD8E}"/>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31.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08EBB54A-4BF4-4882-B801-C9EC9CD65AB4}"/>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A86DF6A0-7FBD-4042-90F8-741C0CFE3076}"/>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4F2AB66A-8142-45C7-9DC1-197E4A53A48C}"/>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963706</xdr:colOff>
      <xdr:row>1</xdr:row>
      <xdr:rowOff>7471</xdr:rowOff>
    </xdr:from>
    <xdr:to>
      <xdr:col>4</xdr:col>
      <xdr:colOff>582922</xdr:colOff>
      <xdr:row>2</xdr:row>
      <xdr:rowOff>40593</xdr:rowOff>
    </xdr:to>
    <xdr:grpSp>
      <xdr:nvGrpSpPr>
        <xdr:cNvPr id="5" name="Group 3">
          <a:extLst>
            <a:ext uri="{FF2B5EF4-FFF2-40B4-BE49-F238E27FC236}">
              <a16:creationId xmlns:a16="http://schemas.microsoft.com/office/drawing/2014/main" id="{0219F09A-C9D5-4176-8481-48873AA49E3F}"/>
            </a:ext>
          </a:extLst>
        </xdr:cNvPr>
        <xdr:cNvGrpSpPr>
          <a:grpSpLocks noChangeAspect="1"/>
        </xdr:cNvGrpSpPr>
      </xdr:nvGrpSpPr>
      <xdr:grpSpPr>
        <a:xfrm>
          <a:off x="2776984" y="169749"/>
          <a:ext cx="1503049" cy="1954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7E0E0CF2-FDF8-4798-A7DE-26DB58F9AD2A}"/>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9D1416EC-895A-4B69-A2DE-87571454B222}"/>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34C514B6-DFA4-408F-811B-EBBC707F8629}"/>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F4E6783C-D6E1-401C-929A-4D0B0A568E73}"/>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C730A4CE-32E6-4B53-88E9-893088FDC20E}"/>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963706</xdr:colOff>
      <xdr:row>1</xdr:row>
      <xdr:rowOff>7471</xdr:rowOff>
    </xdr:from>
    <xdr:to>
      <xdr:col>4</xdr:col>
      <xdr:colOff>582922</xdr:colOff>
      <xdr:row>2</xdr:row>
      <xdr:rowOff>40593</xdr:rowOff>
    </xdr:to>
    <xdr:grpSp>
      <xdr:nvGrpSpPr>
        <xdr:cNvPr id="5" name="Group 3">
          <a:extLst>
            <a:ext uri="{FF2B5EF4-FFF2-40B4-BE49-F238E27FC236}">
              <a16:creationId xmlns:a16="http://schemas.microsoft.com/office/drawing/2014/main" id="{10B3B886-9257-4157-A1BE-E621AB7EF15E}"/>
            </a:ext>
          </a:extLst>
        </xdr:cNvPr>
        <xdr:cNvGrpSpPr>
          <a:grpSpLocks noChangeAspect="1"/>
        </xdr:cNvGrpSpPr>
      </xdr:nvGrpSpPr>
      <xdr:grpSpPr>
        <a:xfrm>
          <a:off x="2776984" y="169749"/>
          <a:ext cx="1503049" cy="1954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F1AB0140-A3E3-48B0-B559-D08E0A4FE135}"/>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F1D1278D-48A6-4956-BC8F-5966CB8FD82C}"/>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57DA3BBA-D70C-4CFD-88DF-3AFE9E3C7F7E}"/>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143C9C9D-EB2B-4D92-B1D0-BA978D7DD9A8}"/>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C61CC497-90D3-40A0-B61A-8D732D2A6F08}"/>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963706</xdr:colOff>
      <xdr:row>1</xdr:row>
      <xdr:rowOff>7471</xdr:rowOff>
    </xdr:from>
    <xdr:to>
      <xdr:col>4</xdr:col>
      <xdr:colOff>582922</xdr:colOff>
      <xdr:row>2</xdr:row>
      <xdr:rowOff>40593</xdr:rowOff>
    </xdr:to>
    <xdr:grpSp>
      <xdr:nvGrpSpPr>
        <xdr:cNvPr id="5" name="Group 3">
          <a:extLst>
            <a:ext uri="{FF2B5EF4-FFF2-40B4-BE49-F238E27FC236}">
              <a16:creationId xmlns:a16="http://schemas.microsoft.com/office/drawing/2014/main" id="{F4C6B84B-4481-488B-851D-015585FA0BB6}"/>
            </a:ext>
          </a:extLst>
        </xdr:cNvPr>
        <xdr:cNvGrpSpPr>
          <a:grpSpLocks noChangeAspect="1"/>
        </xdr:cNvGrpSpPr>
      </xdr:nvGrpSpPr>
      <xdr:grpSpPr>
        <a:xfrm>
          <a:off x="2776984" y="169749"/>
          <a:ext cx="1503049" cy="1954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A6769B92-E506-4818-8237-44BAAB2F8D52}"/>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B9D81E33-D230-47E1-B141-B40E2DF734A3}"/>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38DBC88E-A917-4042-8757-A86A1E8C7788}"/>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BBBE3BCA-5500-4714-AAAF-841A59CA3229}"/>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443DB232-D95A-4825-82AE-916C2E771D00}"/>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963706</xdr:colOff>
      <xdr:row>1</xdr:row>
      <xdr:rowOff>7471</xdr:rowOff>
    </xdr:from>
    <xdr:to>
      <xdr:col>4</xdr:col>
      <xdr:colOff>582922</xdr:colOff>
      <xdr:row>2</xdr:row>
      <xdr:rowOff>40593</xdr:rowOff>
    </xdr:to>
    <xdr:grpSp>
      <xdr:nvGrpSpPr>
        <xdr:cNvPr id="5" name="Group 3">
          <a:extLst>
            <a:ext uri="{FF2B5EF4-FFF2-40B4-BE49-F238E27FC236}">
              <a16:creationId xmlns:a16="http://schemas.microsoft.com/office/drawing/2014/main" id="{C85A5179-DC4A-47E0-B1E8-0DB64E66383E}"/>
            </a:ext>
          </a:extLst>
        </xdr:cNvPr>
        <xdr:cNvGrpSpPr>
          <a:grpSpLocks noChangeAspect="1"/>
        </xdr:cNvGrpSpPr>
      </xdr:nvGrpSpPr>
      <xdr:grpSpPr>
        <a:xfrm>
          <a:off x="2776984" y="169749"/>
          <a:ext cx="1503049" cy="1954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6F539F17-3BD0-4AF5-BDAB-41BCEDBA0E65}"/>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5DCCE62C-42B1-426A-99A2-209829406791}"/>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35.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A9E9F339-0C5F-4C8F-A1C2-20306C147B0D}"/>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450C4323-E60A-4ECF-BE6E-0AB9AE806A2E}"/>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D9FA312E-B2D6-443F-881C-47D362DD0D25}"/>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963706</xdr:colOff>
      <xdr:row>1</xdr:row>
      <xdr:rowOff>7471</xdr:rowOff>
    </xdr:from>
    <xdr:to>
      <xdr:col>4</xdr:col>
      <xdr:colOff>582922</xdr:colOff>
      <xdr:row>2</xdr:row>
      <xdr:rowOff>40593</xdr:rowOff>
    </xdr:to>
    <xdr:grpSp>
      <xdr:nvGrpSpPr>
        <xdr:cNvPr id="5" name="Group 3">
          <a:extLst>
            <a:ext uri="{FF2B5EF4-FFF2-40B4-BE49-F238E27FC236}">
              <a16:creationId xmlns:a16="http://schemas.microsoft.com/office/drawing/2014/main" id="{99897CBF-1531-4523-8143-B4C30292556F}"/>
            </a:ext>
          </a:extLst>
        </xdr:cNvPr>
        <xdr:cNvGrpSpPr>
          <a:grpSpLocks noChangeAspect="1"/>
        </xdr:cNvGrpSpPr>
      </xdr:nvGrpSpPr>
      <xdr:grpSpPr>
        <a:xfrm>
          <a:off x="2776984" y="169749"/>
          <a:ext cx="1503049" cy="1954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818163F5-7205-44DA-9F89-E49321CC385C}"/>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C5EAB493-2898-4C6C-AF46-79E04DAD1248}"/>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36.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4BBED5B0-FFCF-4D90-88A2-891A6EB818FE}"/>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88E31C14-8EB0-42AE-BB7E-68D048BC1A22}"/>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6DFAC9F4-9E7D-4FF0-9C7D-FE47658B7A60}"/>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963706</xdr:colOff>
      <xdr:row>1</xdr:row>
      <xdr:rowOff>7471</xdr:rowOff>
    </xdr:from>
    <xdr:to>
      <xdr:col>4</xdr:col>
      <xdr:colOff>582922</xdr:colOff>
      <xdr:row>2</xdr:row>
      <xdr:rowOff>40593</xdr:rowOff>
    </xdr:to>
    <xdr:grpSp>
      <xdr:nvGrpSpPr>
        <xdr:cNvPr id="5" name="Group 3">
          <a:extLst>
            <a:ext uri="{FF2B5EF4-FFF2-40B4-BE49-F238E27FC236}">
              <a16:creationId xmlns:a16="http://schemas.microsoft.com/office/drawing/2014/main" id="{F86A38EE-7B6F-4927-AC39-BF0322368862}"/>
            </a:ext>
          </a:extLst>
        </xdr:cNvPr>
        <xdr:cNvGrpSpPr>
          <a:grpSpLocks noChangeAspect="1"/>
        </xdr:cNvGrpSpPr>
      </xdr:nvGrpSpPr>
      <xdr:grpSpPr>
        <a:xfrm>
          <a:off x="2776984" y="169749"/>
          <a:ext cx="1503049" cy="1954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D95659DE-43C0-4855-B03B-90C8F563317A}"/>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9255E4DB-0D9A-41E6-A6A1-D80705FFA43A}"/>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37.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525F113C-7198-4FAB-8D2A-E0A6F3C4B1EF}"/>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FED37323-BDB2-4739-9E8E-645FCE5EA01B}"/>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142BDFED-333A-4F7F-8994-AE07690DA114}"/>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963706</xdr:colOff>
      <xdr:row>1</xdr:row>
      <xdr:rowOff>7471</xdr:rowOff>
    </xdr:from>
    <xdr:to>
      <xdr:col>4</xdr:col>
      <xdr:colOff>582922</xdr:colOff>
      <xdr:row>2</xdr:row>
      <xdr:rowOff>40593</xdr:rowOff>
    </xdr:to>
    <xdr:grpSp>
      <xdr:nvGrpSpPr>
        <xdr:cNvPr id="5" name="Group 3">
          <a:extLst>
            <a:ext uri="{FF2B5EF4-FFF2-40B4-BE49-F238E27FC236}">
              <a16:creationId xmlns:a16="http://schemas.microsoft.com/office/drawing/2014/main" id="{BCC87885-E69E-43E6-9905-C48C260B9304}"/>
            </a:ext>
          </a:extLst>
        </xdr:cNvPr>
        <xdr:cNvGrpSpPr>
          <a:grpSpLocks noChangeAspect="1"/>
        </xdr:cNvGrpSpPr>
      </xdr:nvGrpSpPr>
      <xdr:grpSpPr>
        <a:xfrm>
          <a:off x="2776984" y="169749"/>
          <a:ext cx="1503049" cy="1954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CE414021-9FC4-419A-9B81-0863C8E67B8F}"/>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6A080266-03BA-46D4-BE03-EC2FFC095A37}"/>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38.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42A83C67-AEC3-46FD-BC20-35ED10674965}"/>
            </a:ext>
          </a:extLst>
        </xdr:cNvPr>
        <xdr:cNvGrpSpPr>
          <a:grpSpLocks noChangeAspect="1"/>
        </xdr:cNvGrpSpPr>
      </xdr:nvGrpSpPr>
      <xdr:grpSpPr>
        <a:xfrm>
          <a:off x="263878" y="166064"/>
          <a:ext cx="2442368" cy="196591"/>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D43EE430-0471-418A-AA0B-F08B4BECB2E4}"/>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06CB80C8-DB0F-474C-A616-620A50D0E5A0}"/>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wsDr>
</file>

<file path=xl/drawings/drawing39.xml><?xml version="1.0" encoding="utf-8"?>
<xdr:wsDr xmlns:xdr="http://schemas.openxmlformats.org/drawingml/2006/spreadsheetDrawing" xmlns:a="http://schemas.openxmlformats.org/drawingml/2006/main">
  <xdr:twoCellAnchor>
    <xdr:from>
      <xdr:col>6</xdr:col>
      <xdr:colOff>21688</xdr:colOff>
      <xdr:row>1</xdr:row>
      <xdr:rowOff>240397</xdr:rowOff>
    </xdr:from>
    <xdr:to>
      <xdr:col>6</xdr:col>
      <xdr:colOff>253183</xdr:colOff>
      <xdr:row>1</xdr:row>
      <xdr:rowOff>240619</xdr:rowOff>
    </xdr:to>
    <xdr:cxnSp macro="">
      <xdr:nvCxnSpPr>
        <xdr:cNvPr id="3" name="Gerade Verbindung mit Pfeil 2">
          <a:extLst>
            <a:ext uri="{FF2B5EF4-FFF2-40B4-BE49-F238E27FC236}">
              <a16:creationId xmlns:a16="http://schemas.microsoft.com/office/drawing/2014/main" id="{A77EB57D-D3AE-4469-B3FA-6F94B8387308}"/>
            </a:ext>
          </a:extLst>
        </xdr:cNvPr>
        <xdr:cNvCxnSpPr/>
      </xdr:nvCxnSpPr>
      <xdr:spPr>
        <a:xfrm flipH="1" flipV="1">
          <a:off x="9927688" y="430897"/>
          <a:ext cx="231495" cy="222"/>
        </a:xfrm>
        <a:prstGeom prst="straightConnector1">
          <a:avLst/>
        </a:prstGeom>
        <a:ln w="28575">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3227294</xdr:colOff>
      <xdr:row>38</xdr:row>
      <xdr:rowOff>67235</xdr:rowOff>
    </xdr:from>
    <xdr:to>
      <xdr:col>15</xdr:col>
      <xdr:colOff>828343</xdr:colOff>
      <xdr:row>39</xdr:row>
      <xdr:rowOff>50835</xdr:rowOff>
    </xdr:to>
    <xdr:grpSp>
      <xdr:nvGrpSpPr>
        <xdr:cNvPr id="5" name="Group 2">
          <a:hlinkClick xmlns:r="http://schemas.openxmlformats.org/officeDocument/2006/relationships" r:id="rId1"/>
          <a:extLst>
            <a:ext uri="{FF2B5EF4-FFF2-40B4-BE49-F238E27FC236}">
              <a16:creationId xmlns:a16="http://schemas.microsoft.com/office/drawing/2014/main" id="{CA4AF285-E348-476A-82F1-89D8BA622AC1}"/>
            </a:ext>
          </a:extLst>
        </xdr:cNvPr>
        <xdr:cNvGrpSpPr>
          <a:grpSpLocks noChangeAspect="1"/>
        </xdr:cNvGrpSpPr>
      </xdr:nvGrpSpPr>
      <xdr:grpSpPr>
        <a:xfrm>
          <a:off x="20215412" y="7186706"/>
          <a:ext cx="2329931" cy="162894"/>
          <a:chOff x="952863" y="87272"/>
          <a:chExt cx="1660289" cy="211849"/>
        </a:xfrm>
      </xdr:grpSpPr>
      <xdr:sp macro="" textlink="">
        <xdr:nvSpPr>
          <xdr:cNvPr id="6" name="Rectangle: Rounded Corners 9">
            <a:extLst>
              <a:ext uri="{FF2B5EF4-FFF2-40B4-BE49-F238E27FC236}">
                <a16:creationId xmlns:a16="http://schemas.microsoft.com/office/drawing/2014/main" id="{A41123E5-EF79-4FF6-A2C7-5C0ED10CEB21}"/>
              </a:ext>
            </a:extLst>
          </xdr:cNvPr>
          <xdr:cNvSpPr/>
        </xdr:nvSpPr>
        <xdr:spPr bwMode="auto">
          <a:xfrm>
            <a:off x="952863" y="87272"/>
            <a:ext cx="1660289"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Zurück zum Dashboard </a:t>
            </a:r>
          </a:p>
        </xdr:txBody>
      </xdr:sp>
      <xdr:sp macro="" textlink="">
        <xdr:nvSpPr>
          <xdr:cNvPr id="7" name="Freeform 22">
            <a:extLst>
              <a:ext uri="{FF2B5EF4-FFF2-40B4-BE49-F238E27FC236}">
                <a16:creationId xmlns:a16="http://schemas.microsoft.com/office/drawing/2014/main" id="{B86CCBD0-82AC-4AB2-B8C0-FF8B490CD732}"/>
              </a:ext>
            </a:extLst>
          </xdr:cNvPr>
          <xdr:cNvSpPr>
            <a:spLocks noChangeAspect="1" noEditPoints="1"/>
          </xdr:cNvSpPr>
        </xdr:nvSpPr>
        <xdr:spPr bwMode="auto">
          <a:xfrm>
            <a:off x="1001492"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solidFill>
              <a:sysClr val="windowText" lastClr="000000"/>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13</xdr:col>
      <xdr:colOff>1299882</xdr:colOff>
      <xdr:row>0</xdr:row>
      <xdr:rowOff>100853</xdr:rowOff>
    </xdr:from>
    <xdr:to>
      <xdr:col>13</xdr:col>
      <xdr:colOff>3518322</xdr:colOff>
      <xdr:row>1</xdr:row>
      <xdr:rowOff>480790</xdr:rowOff>
    </xdr:to>
    <xdr:sp macro="" textlink="">
      <xdr:nvSpPr>
        <xdr:cNvPr id="8" name="Legende: Linie 7">
          <a:extLst>
            <a:ext uri="{FF2B5EF4-FFF2-40B4-BE49-F238E27FC236}">
              <a16:creationId xmlns:a16="http://schemas.microsoft.com/office/drawing/2014/main" id="{04291FEB-E0A9-4508-BF11-9F7B6CF54325}"/>
            </a:ext>
          </a:extLst>
        </xdr:cNvPr>
        <xdr:cNvSpPr/>
      </xdr:nvSpPr>
      <xdr:spPr>
        <a:xfrm>
          <a:off x="17492382" y="100853"/>
          <a:ext cx="2218440" cy="570437"/>
        </a:xfrm>
        <a:prstGeom prst="borderCallout1">
          <a:avLst>
            <a:gd name="adj1" fmla="val 100249"/>
            <a:gd name="adj2" fmla="val 87172"/>
            <a:gd name="adj3" fmla="val 165130"/>
            <a:gd name="adj4" fmla="val 126093"/>
          </a:avLst>
        </a:prstGeom>
        <a:solidFill>
          <a:schemeClr val="bg1"/>
        </a:solidFill>
        <a:ln w="6350">
          <a:solidFill>
            <a:schemeClr val="accent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00" b="1">
              <a:solidFill>
                <a:sysClr val="windowText" lastClr="000000"/>
              </a:solidFill>
              <a:latin typeface="Arial" panose="020B0604020202020204" pitchFamily="34" charset="0"/>
              <a:cs typeface="Arial" panose="020B0604020202020204" pitchFamily="34" charset="0"/>
            </a:rPr>
            <a:t>Geben Sie für jede Subdimension den angestrebten</a:t>
          </a:r>
          <a:r>
            <a:rPr lang="de-DE" sz="1000" b="1" baseline="0">
              <a:solidFill>
                <a:sysClr val="windowText" lastClr="000000"/>
              </a:solidFill>
              <a:latin typeface="Arial" panose="020B0604020202020204" pitchFamily="34" charset="0"/>
              <a:cs typeface="Arial" panose="020B0604020202020204" pitchFamily="34" charset="0"/>
            </a:rPr>
            <a:t> Reifegrad zwischen 1 und 5 an</a:t>
          </a:r>
          <a:endParaRPr lang="de-DE" sz="1000" b="1">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mailto:christian4.koch@tu-dortmund.de?subject=NIRO-Reifegradmodell%20f&#252;r%20die%20Technische%20Dokumentation"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34.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30.vml"/><Relationship Id="rId2" Type="http://schemas.openxmlformats.org/officeDocument/2006/relationships/drawing" Target="../drawings/drawing35.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31.vml"/><Relationship Id="rId2" Type="http://schemas.openxmlformats.org/officeDocument/2006/relationships/drawing" Target="../drawings/drawing36.xml"/><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32.vml"/><Relationship Id="rId2" Type="http://schemas.openxmlformats.org/officeDocument/2006/relationships/drawing" Target="../drawings/drawing37.x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3" Type="http://schemas.openxmlformats.org/officeDocument/2006/relationships/vmlDrawing" Target="../drawings/vmlDrawing33.vml"/><Relationship Id="rId2" Type="http://schemas.openxmlformats.org/officeDocument/2006/relationships/drawing" Target="../drawings/drawing38.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37"/>
  <sheetViews>
    <sheetView showGridLines="0" topLeftCell="A7" zoomScale="70" zoomScaleNormal="70" workbookViewId="0">
      <selection activeCell="C9" sqref="C9"/>
    </sheetView>
  </sheetViews>
  <sheetFormatPr baseColWidth="10" defaultColWidth="11.453125" defaultRowHeight="14" x14ac:dyDescent="0.3"/>
  <cols>
    <col min="1" max="1" width="3.26953125" style="15" customWidth="1"/>
    <col min="2" max="2" width="1.7265625" style="15" customWidth="1"/>
    <col min="3" max="3" width="2.26953125" style="15" customWidth="1"/>
    <col min="4" max="4" width="19" style="15" customWidth="1"/>
    <col min="5" max="5" width="14.7265625" style="15" bestFit="1" customWidth="1"/>
    <col min="6" max="7" width="11.453125" style="15"/>
    <col min="8" max="8" width="2.26953125" style="15" customWidth="1"/>
    <col min="9" max="10" width="11.453125" style="15"/>
    <col min="11" max="11" width="27.81640625" style="15" customWidth="1"/>
    <col min="12" max="12" width="2.26953125" style="15" customWidth="1"/>
    <col min="13" max="13" width="1.7265625" style="15" customWidth="1"/>
    <col min="14" max="16384" width="11.453125" style="15"/>
  </cols>
  <sheetData>
    <row r="2" spans="2:13" x14ac:dyDescent="0.3">
      <c r="B2" s="14"/>
      <c r="C2" s="14"/>
      <c r="D2" s="14"/>
      <c r="E2" s="14"/>
      <c r="F2" s="14"/>
      <c r="G2" s="14"/>
      <c r="H2" s="14"/>
      <c r="I2" s="14"/>
      <c r="J2" s="14"/>
      <c r="K2" s="14"/>
      <c r="L2" s="14"/>
      <c r="M2" s="14"/>
    </row>
    <row r="3" spans="2:13" x14ac:dyDescent="0.3">
      <c r="B3" s="14"/>
      <c r="C3" s="14"/>
      <c r="D3" s="14"/>
      <c r="E3" s="14"/>
      <c r="F3" s="14"/>
      <c r="G3" s="14"/>
      <c r="H3" s="14"/>
      <c r="I3" s="14"/>
      <c r="J3" s="14"/>
      <c r="K3" s="14"/>
      <c r="L3" s="14"/>
      <c r="M3" s="14"/>
    </row>
    <row r="4" spans="2:13" x14ac:dyDescent="0.3">
      <c r="B4" s="14"/>
      <c r="C4" s="14"/>
      <c r="D4" s="14"/>
      <c r="E4" s="14"/>
      <c r="F4" s="14"/>
      <c r="G4" s="14"/>
      <c r="H4" s="14"/>
      <c r="I4" s="14"/>
      <c r="J4" s="14"/>
      <c r="K4" s="14"/>
      <c r="L4" s="14"/>
      <c r="M4" s="14"/>
    </row>
    <row r="5" spans="2:13" x14ac:dyDescent="0.3">
      <c r="B5" s="14"/>
      <c r="C5" s="14"/>
      <c r="D5" s="14"/>
      <c r="E5" s="14"/>
      <c r="F5" s="14"/>
      <c r="G5" s="14"/>
      <c r="H5" s="14"/>
      <c r="I5" s="14"/>
      <c r="J5" s="14"/>
      <c r="K5" s="14"/>
      <c r="L5" s="14"/>
      <c r="M5" s="14"/>
    </row>
    <row r="6" spans="2:13" x14ac:dyDescent="0.3">
      <c r="B6" s="14"/>
      <c r="C6" s="14"/>
      <c r="D6" s="14"/>
      <c r="E6" s="14"/>
      <c r="F6" s="14"/>
      <c r="G6" s="14"/>
      <c r="H6" s="14"/>
      <c r="I6" s="14"/>
      <c r="J6" s="14"/>
      <c r="K6" s="14"/>
      <c r="L6" s="14"/>
      <c r="M6" s="14"/>
    </row>
    <row r="7" spans="2:13" x14ac:dyDescent="0.3">
      <c r="B7" s="14"/>
      <c r="C7" s="14"/>
      <c r="D7" s="14"/>
      <c r="E7" s="14"/>
      <c r="F7" s="14"/>
      <c r="G7" s="14"/>
      <c r="H7" s="14"/>
      <c r="I7" s="14"/>
      <c r="J7" s="14"/>
      <c r="K7" s="14"/>
      <c r="L7" s="14"/>
      <c r="M7" s="14"/>
    </row>
    <row r="8" spans="2:13" ht="18" customHeight="1" x14ac:dyDescent="0.5">
      <c r="B8" s="14"/>
      <c r="C8" s="16"/>
      <c r="D8" s="14"/>
      <c r="E8" s="14"/>
      <c r="F8" s="14"/>
      <c r="G8" s="14"/>
      <c r="H8" s="14"/>
      <c r="I8" s="14"/>
      <c r="J8" s="14"/>
      <c r="K8" s="14"/>
      <c r="L8" s="14"/>
      <c r="M8" s="14"/>
    </row>
    <row r="9" spans="2:13" ht="25" x14ac:dyDescent="0.3">
      <c r="B9" s="14"/>
      <c r="C9" s="120" t="s">
        <v>83</v>
      </c>
      <c r="D9" s="14"/>
      <c r="E9" s="14"/>
      <c r="F9" s="14"/>
      <c r="G9" s="14"/>
      <c r="H9" s="14"/>
      <c r="I9" s="14"/>
      <c r="J9" s="14"/>
      <c r="K9" s="14"/>
      <c r="L9" s="14"/>
      <c r="M9" s="14"/>
    </row>
    <row r="10" spans="2:13" ht="16.5" customHeight="1" x14ac:dyDescent="0.3">
      <c r="B10" s="14"/>
      <c r="C10" s="121"/>
      <c r="D10" s="132"/>
      <c r="E10" s="132"/>
      <c r="F10" s="132"/>
      <c r="G10" s="132"/>
      <c r="H10" s="132"/>
      <c r="I10" s="132"/>
      <c r="J10" s="132"/>
      <c r="K10" s="14"/>
      <c r="L10" s="14"/>
      <c r="M10" s="14"/>
    </row>
    <row r="11" spans="2:13" ht="16.5" customHeight="1" x14ac:dyDescent="0.3">
      <c r="B11" s="14"/>
      <c r="C11" s="14"/>
      <c r="D11" s="14"/>
      <c r="E11" s="14"/>
      <c r="F11" s="14"/>
      <c r="G11" s="14"/>
      <c r="H11" s="14"/>
      <c r="I11" s="14"/>
      <c r="J11" s="14"/>
      <c r="K11" s="14"/>
      <c r="L11" s="14"/>
      <c r="M11" s="14"/>
    </row>
    <row r="12" spans="2:13" ht="16.5" customHeight="1" x14ac:dyDescent="0.3">
      <c r="B12" s="14"/>
      <c r="C12" s="14"/>
      <c r="D12" s="14"/>
      <c r="E12" s="14"/>
      <c r="F12" s="14"/>
      <c r="G12" s="14"/>
      <c r="H12" s="14"/>
      <c r="I12" s="14"/>
      <c r="J12" s="14"/>
      <c r="K12" s="14"/>
      <c r="L12" s="14"/>
      <c r="M12" s="14"/>
    </row>
    <row r="13" spans="2:13" x14ac:dyDescent="0.3">
      <c r="B13" s="14"/>
      <c r="C13" s="14"/>
      <c r="D13" s="14"/>
      <c r="E13" s="14"/>
      <c r="F13" s="14"/>
      <c r="G13" s="14"/>
      <c r="H13" s="14"/>
      <c r="I13" s="14"/>
      <c r="J13" s="14"/>
      <c r="K13" s="14"/>
      <c r="L13" s="14"/>
      <c r="M13" s="14"/>
    </row>
    <row r="14" spans="2:13" ht="6.65" customHeight="1" x14ac:dyDescent="0.3">
      <c r="B14" s="14"/>
      <c r="C14" s="14"/>
      <c r="D14" s="14"/>
      <c r="E14" s="14"/>
      <c r="F14" s="14"/>
      <c r="G14" s="14"/>
      <c r="H14" s="14"/>
      <c r="I14" s="14"/>
      <c r="J14" s="14"/>
      <c r="K14" s="14"/>
      <c r="L14" s="14"/>
      <c r="M14" s="14"/>
    </row>
    <row r="15" spans="2:13" ht="6.65" customHeight="1" x14ac:dyDescent="0.3">
      <c r="B15" s="14"/>
      <c r="C15" s="14"/>
      <c r="D15" s="14"/>
      <c r="E15" s="14"/>
      <c r="F15" s="14"/>
      <c r="G15" s="14"/>
      <c r="H15" s="14"/>
      <c r="I15" s="14"/>
      <c r="J15" s="14"/>
      <c r="K15" s="14"/>
      <c r="L15" s="14"/>
      <c r="M15" s="14"/>
    </row>
    <row r="16" spans="2:13" ht="18" customHeight="1" x14ac:dyDescent="0.3">
      <c r="B16" s="14"/>
      <c r="C16" s="17"/>
      <c r="D16" s="18"/>
      <c r="E16" s="19"/>
      <c r="F16" s="19"/>
      <c r="G16" s="19"/>
      <c r="H16" s="19"/>
      <c r="I16" s="20"/>
      <c r="J16" s="19"/>
      <c r="K16" s="19"/>
      <c r="L16" s="14"/>
      <c r="M16" s="14"/>
    </row>
    <row r="17" spans="2:13" ht="18.75" customHeight="1" x14ac:dyDescent="0.3">
      <c r="B17" s="14"/>
      <c r="C17" s="14"/>
      <c r="D17" s="229"/>
      <c r="E17" s="229"/>
      <c r="F17" s="229"/>
      <c r="G17" s="229"/>
      <c r="H17" s="14"/>
      <c r="I17" s="229"/>
      <c r="J17" s="229"/>
      <c r="K17" s="229"/>
      <c r="L17" s="14"/>
      <c r="M17" s="14"/>
    </row>
    <row r="18" spans="2:13" ht="18" customHeight="1" x14ac:dyDescent="0.3">
      <c r="B18" s="14"/>
      <c r="C18" s="14"/>
      <c r="D18" s="14"/>
      <c r="E18" s="14"/>
      <c r="F18" s="14"/>
      <c r="G18" s="14"/>
      <c r="H18" s="14"/>
      <c r="I18" s="14"/>
      <c r="J18" s="14"/>
      <c r="K18" s="14"/>
      <c r="L18" s="14"/>
      <c r="M18" s="14"/>
    </row>
    <row r="19" spans="2:13" ht="18" customHeight="1" x14ac:dyDescent="0.3">
      <c r="B19" s="14"/>
      <c r="C19" s="14"/>
      <c r="D19" s="20"/>
      <c r="E19" s="14"/>
      <c r="F19" s="14"/>
      <c r="G19" s="14"/>
      <c r="H19" s="14"/>
      <c r="I19" s="20"/>
      <c r="J19" s="14"/>
      <c r="K19" s="14"/>
      <c r="L19" s="14"/>
      <c r="M19" s="14"/>
    </row>
    <row r="20" spans="2:13" ht="74.25" customHeight="1" x14ac:dyDescent="0.3">
      <c r="B20" s="14"/>
      <c r="C20" s="14"/>
      <c r="D20" s="229"/>
      <c r="E20" s="229"/>
      <c r="F20" s="229"/>
      <c r="G20" s="229"/>
      <c r="H20" s="14"/>
      <c r="I20" s="229"/>
      <c r="J20" s="229"/>
      <c r="K20" s="229"/>
      <c r="L20" s="14"/>
      <c r="M20" s="14"/>
    </row>
    <row r="21" spans="2:13" ht="6.65" customHeight="1" x14ac:dyDescent="0.3">
      <c r="B21" s="14"/>
      <c r="C21" s="14"/>
      <c r="D21" s="14"/>
      <c r="E21" s="14"/>
      <c r="F21" s="14"/>
      <c r="G21" s="14"/>
      <c r="H21" s="14"/>
      <c r="I21" s="14"/>
      <c r="J21" s="14"/>
      <c r="K21" s="14"/>
      <c r="L21" s="14"/>
      <c r="M21" s="14"/>
    </row>
    <row r="22" spans="2:13" ht="6.65" customHeight="1" x14ac:dyDescent="0.3">
      <c r="B22" s="14"/>
      <c r="C22" s="14"/>
      <c r="D22" s="14"/>
      <c r="E22" s="14"/>
      <c r="F22" s="14"/>
      <c r="G22" s="14"/>
      <c r="H22" s="14"/>
      <c r="I22" s="14"/>
      <c r="J22" s="14"/>
      <c r="K22" s="14"/>
      <c r="L22" s="14"/>
      <c r="M22" s="14"/>
    </row>
    <row r="23" spans="2:13" x14ac:dyDescent="0.3">
      <c r="B23" s="14"/>
      <c r="C23" s="14"/>
      <c r="D23" s="14"/>
      <c r="E23" s="14"/>
      <c r="F23" s="14"/>
      <c r="G23" s="14"/>
      <c r="H23" s="14"/>
      <c r="I23" s="14"/>
      <c r="J23" s="14"/>
      <c r="K23" s="14"/>
      <c r="L23" s="14"/>
      <c r="M23" s="14"/>
    </row>
    <row r="24" spans="2:13" x14ac:dyDescent="0.3">
      <c r="B24" s="14"/>
      <c r="C24" s="14"/>
      <c r="D24" s="14"/>
      <c r="E24" s="14"/>
      <c r="F24" s="14"/>
      <c r="G24" s="14"/>
      <c r="H24" s="14"/>
      <c r="I24" s="14"/>
      <c r="J24" s="14"/>
      <c r="K24" s="14"/>
      <c r="L24" s="14"/>
      <c r="M24" s="14"/>
    </row>
    <row r="25" spans="2:13" x14ac:dyDescent="0.3">
      <c r="B25" s="14"/>
      <c r="C25" s="14"/>
      <c r="D25" s="14"/>
      <c r="E25" s="14"/>
      <c r="F25" s="14"/>
      <c r="G25" s="14"/>
      <c r="H25" s="14"/>
      <c r="I25" s="14"/>
      <c r="J25" s="14"/>
      <c r="K25" s="14"/>
      <c r="L25" s="14"/>
      <c r="M25" s="14"/>
    </row>
    <row r="26" spans="2:13" x14ac:dyDescent="0.3">
      <c r="B26" s="14"/>
      <c r="C26" s="14" t="s">
        <v>63</v>
      </c>
      <c r="D26" s="14"/>
      <c r="E26" s="119" t="s">
        <v>84</v>
      </c>
      <c r="F26" s="14"/>
      <c r="G26" s="14"/>
      <c r="H26" s="14"/>
      <c r="I26" s="14"/>
      <c r="J26" s="14"/>
      <c r="K26" s="14"/>
      <c r="L26" s="14"/>
      <c r="M26" s="14"/>
    </row>
    <row r="27" spans="2:13" x14ac:dyDescent="0.3">
      <c r="B27" s="14"/>
      <c r="C27" s="17" t="s">
        <v>1</v>
      </c>
      <c r="D27" s="14"/>
      <c r="E27" s="223" t="s">
        <v>1114</v>
      </c>
      <c r="F27" s="14"/>
      <c r="G27" s="14"/>
      <c r="H27" s="14"/>
      <c r="I27" s="14"/>
      <c r="J27" s="14"/>
      <c r="K27" s="14"/>
      <c r="L27" s="14"/>
      <c r="M27" s="14"/>
    </row>
    <row r="28" spans="2:13" x14ac:dyDescent="0.3">
      <c r="B28" s="14"/>
      <c r="C28" s="17" t="s">
        <v>65</v>
      </c>
      <c r="D28" s="17"/>
      <c r="E28" s="118">
        <v>45994</v>
      </c>
      <c r="F28" s="14"/>
      <c r="G28" s="14"/>
      <c r="H28" s="14"/>
      <c r="I28" s="14"/>
      <c r="J28" s="14"/>
      <c r="K28" s="14"/>
      <c r="L28" s="14"/>
      <c r="M28" s="14"/>
    </row>
    <row r="29" spans="2:13" x14ac:dyDescent="0.3">
      <c r="B29" s="14"/>
      <c r="C29" s="17" t="s">
        <v>1100</v>
      </c>
      <c r="D29" s="14"/>
      <c r="E29" s="14" t="s">
        <v>1101</v>
      </c>
      <c r="F29" s="14"/>
      <c r="G29" s="14"/>
      <c r="H29" s="14"/>
      <c r="I29" s="14"/>
      <c r="J29" s="14"/>
      <c r="K29" s="14"/>
      <c r="L29" s="14"/>
      <c r="M29" s="14"/>
    </row>
    <row r="30" spans="2:13" x14ac:dyDescent="0.3">
      <c r="B30" s="14"/>
      <c r="C30" s="14"/>
      <c r="D30" s="14"/>
      <c r="E30" s="14"/>
      <c r="F30" s="14"/>
      <c r="G30" s="14"/>
      <c r="H30" s="14"/>
      <c r="I30" s="14"/>
      <c r="J30" s="14"/>
      <c r="K30" s="14"/>
      <c r="L30" s="14"/>
      <c r="M30" s="14"/>
    </row>
    <row r="31" spans="2:13" x14ac:dyDescent="0.3">
      <c r="B31" s="14"/>
      <c r="C31" s="14"/>
      <c r="D31" s="14"/>
      <c r="E31" s="14"/>
      <c r="F31" s="14"/>
      <c r="G31" s="14"/>
      <c r="H31" s="14"/>
      <c r="I31" s="14"/>
      <c r="J31" s="14"/>
      <c r="K31" s="14"/>
      <c r="L31" s="14"/>
      <c r="M31" s="14"/>
    </row>
    <row r="32" spans="2:13" x14ac:dyDescent="0.3">
      <c r="B32" s="14"/>
      <c r="C32" s="14"/>
      <c r="D32" s="14"/>
      <c r="E32" s="14"/>
      <c r="F32" s="14"/>
      <c r="G32" s="14"/>
      <c r="H32" s="14"/>
      <c r="I32" s="14"/>
      <c r="J32" s="14"/>
      <c r="K32" s="14"/>
      <c r="L32" s="14"/>
      <c r="M32" s="14"/>
    </row>
    <row r="33" spans="2:13" x14ac:dyDescent="0.3">
      <c r="B33" s="14"/>
      <c r="C33" s="14"/>
      <c r="D33" s="14"/>
      <c r="E33" s="14"/>
      <c r="F33" s="14"/>
      <c r="G33" s="14"/>
      <c r="H33" s="14"/>
      <c r="I33" s="14"/>
      <c r="J33" s="14"/>
      <c r="K33" s="14"/>
      <c r="L33" s="14"/>
      <c r="M33" s="14"/>
    </row>
    <row r="34" spans="2:13" x14ac:dyDescent="0.3">
      <c r="B34" s="14"/>
      <c r="C34" s="14"/>
      <c r="D34" s="14"/>
      <c r="E34" s="14"/>
      <c r="F34" s="14"/>
      <c r="G34" s="14"/>
      <c r="H34" s="14"/>
      <c r="I34" s="14"/>
      <c r="J34" s="14"/>
      <c r="K34" s="14"/>
      <c r="L34" s="14"/>
      <c r="M34" s="14"/>
    </row>
    <row r="35" spans="2:13" x14ac:dyDescent="0.3">
      <c r="B35" s="14"/>
      <c r="C35" s="14"/>
      <c r="D35" s="14"/>
      <c r="E35" s="14"/>
      <c r="F35" s="14"/>
      <c r="G35" s="14"/>
      <c r="H35" s="14"/>
      <c r="I35" s="14"/>
      <c r="J35" s="14"/>
      <c r="K35" s="14"/>
      <c r="L35" s="14"/>
      <c r="M35" s="14"/>
    </row>
    <row r="36" spans="2:13" x14ac:dyDescent="0.3">
      <c r="B36" s="14"/>
      <c r="C36" s="14"/>
      <c r="D36" s="14"/>
      <c r="E36" s="14"/>
      <c r="F36" s="14"/>
      <c r="G36" s="14"/>
      <c r="H36" s="14"/>
      <c r="I36" s="14"/>
      <c r="J36" s="14"/>
      <c r="K36" s="14"/>
      <c r="L36" s="14"/>
      <c r="M36" s="14"/>
    </row>
    <row r="37" spans="2:13" x14ac:dyDescent="0.3">
      <c r="B37" s="14"/>
      <c r="C37" s="14"/>
      <c r="D37" s="14"/>
      <c r="E37" s="14"/>
      <c r="F37" s="14"/>
      <c r="G37" s="14"/>
      <c r="H37" s="14"/>
      <c r="I37" s="14"/>
      <c r="J37" s="14"/>
      <c r="K37" s="14"/>
      <c r="L37" s="14"/>
      <c r="M37" s="14"/>
    </row>
  </sheetData>
  <mergeCells count="4">
    <mergeCell ref="D17:G17"/>
    <mergeCell ref="I17:K17"/>
    <mergeCell ref="D20:G20"/>
    <mergeCell ref="I20:K20"/>
  </mergeCells>
  <conditionalFormatting sqref="E28">
    <cfRule type="containsText" dxfId="68" priority="1" operator="containsText" text="TT.MM.JJJJ">
      <formula>NOT(ISERROR(SEARCH("TT.MM.JJJJ",E28)))</formula>
    </cfRule>
  </conditionalFormatting>
  <pageMargins left="0.7" right="0.7" top="0.78740157499999996" bottom="0.78740157499999996"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6:N20"/>
  <sheetViews>
    <sheetView showGridLines="0" topLeftCell="A10" zoomScale="85" zoomScaleNormal="85" workbookViewId="0">
      <selection activeCell="L17" sqref="L17"/>
    </sheetView>
  </sheetViews>
  <sheetFormatPr baseColWidth="10" defaultColWidth="11.453125" defaultRowHeight="14" x14ac:dyDescent="0.3"/>
  <cols>
    <col min="1" max="1" width="3.26953125" style="1" customWidth="1"/>
    <col min="2" max="2" width="11.453125" style="1"/>
    <col min="3" max="3" width="21.81640625" style="1" customWidth="1"/>
    <col min="4" max="4" width="19.26953125" style="1" customWidth="1"/>
    <col min="5" max="5" width="3" style="1" customWidth="1"/>
    <col min="6" max="6" width="22.26953125" style="1" customWidth="1"/>
    <col min="7" max="7" width="19.1796875" style="1" customWidth="1"/>
    <col min="8" max="8" width="11.453125" style="1"/>
    <col min="9" max="9" width="4.26953125" style="1" customWidth="1"/>
    <col min="10" max="16384" width="11.453125" style="1"/>
  </cols>
  <sheetData>
    <row r="6" spans="2:14" ht="18" x14ac:dyDescent="0.3">
      <c r="B6" s="5" t="s">
        <v>85</v>
      </c>
    </row>
    <row r="7" spans="2:14" ht="3.65" customHeight="1" x14ac:dyDescent="0.3"/>
    <row r="8" spans="2:14" ht="3" customHeight="1" x14ac:dyDescent="0.3">
      <c r="B8" s="6"/>
      <c r="C8" s="6"/>
      <c r="D8" s="6"/>
      <c r="E8" s="6"/>
      <c r="F8" s="6"/>
      <c r="G8" s="6"/>
      <c r="H8" s="6"/>
      <c r="I8" s="6"/>
      <c r="J8" s="6"/>
      <c r="K8" s="6"/>
      <c r="L8" s="6"/>
      <c r="M8" s="6"/>
      <c r="N8" s="6"/>
    </row>
    <row r="9" spans="2:14" ht="34.5" customHeight="1" x14ac:dyDescent="0.3">
      <c r="B9" s="233" t="s">
        <v>878</v>
      </c>
      <c r="C9" s="233"/>
      <c r="D9" s="233"/>
      <c r="E9" s="233"/>
      <c r="F9" s="233"/>
      <c r="G9" s="233"/>
      <c r="H9" s="233"/>
      <c r="I9" s="233"/>
      <c r="J9" s="233"/>
      <c r="K9" s="233"/>
      <c r="L9" s="233"/>
      <c r="M9" s="233"/>
      <c r="N9" s="233"/>
    </row>
    <row r="10" spans="2:14" ht="53.5" customHeight="1" x14ac:dyDescent="0.3">
      <c r="B10" s="234" t="s">
        <v>1094</v>
      </c>
      <c r="C10" s="234"/>
      <c r="D10" s="234"/>
      <c r="E10" s="234"/>
      <c r="F10" s="234"/>
      <c r="G10" s="234"/>
      <c r="H10" s="234"/>
      <c r="I10" s="234"/>
      <c r="J10" s="234"/>
      <c r="K10" s="234"/>
      <c r="L10" s="234"/>
      <c r="M10" s="234"/>
      <c r="N10" s="234"/>
    </row>
    <row r="11" spans="2:14" ht="53.5" customHeight="1" x14ac:dyDescent="0.3">
      <c r="B11" s="234" t="s">
        <v>1163</v>
      </c>
      <c r="C11" s="234"/>
      <c r="D11" s="234"/>
      <c r="E11" s="234"/>
      <c r="F11" s="234"/>
      <c r="G11" s="234"/>
      <c r="H11" s="234"/>
      <c r="I11" s="234"/>
      <c r="J11" s="234"/>
      <c r="K11" s="234"/>
      <c r="L11" s="234"/>
      <c r="M11" s="234"/>
      <c r="N11" s="234"/>
    </row>
    <row r="12" spans="2:14" ht="43.5" customHeight="1" x14ac:dyDescent="0.3">
      <c r="B12" s="235" t="s">
        <v>190</v>
      </c>
      <c r="C12" s="235"/>
      <c r="D12" s="235"/>
      <c r="E12" s="235"/>
      <c r="F12" s="235"/>
      <c r="G12" s="235"/>
      <c r="H12" s="235"/>
      <c r="I12" s="235"/>
      <c r="J12" s="235"/>
      <c r="K12" s="235"/>
      <c r="L12" s="235"/>
      <c r="M12" s="235"/>
      <c r="N12" s="235"/>
    </row>
    <row r="13" spans="2:14" ht="38.25" customHeight="1" x14ac:dyDescent="0.3">
      <c r="B13" s="238" t="s">
        <v>186</v>
      </c>
      <c r="C13" s="238"/>
      <c r="D13" s="238"/>
      <c r="E13" s="47"/>
      <c r="F13" s="47"/>
      <c r="G13" s="47"/>
      <c r="H13" s="47"/>
      <c r="I13" s="47"/>
      <c r="J13" s="47"/>
      <c r="K13" s="47"/>
      <c r="L13" s="47"/>
      <c r="M13" s="13"/>
      <c r="N13" s="13"/>
    </row>
    <row r="14" spans="2:14" ht="43.5" customHeight="1" x14ac:dyDescent="0.3">
      <c r="B14" s="231" t="s">
        <v>189</v>
      </c>
      <c r="C14" s="237"/>
      <c r="D14" s="237"/>
      <c r="E14" s="47"/>
      <c r="F14" s="47"/>
      <c r="G14" s="47"/>
      <c r="H14" s="47"/>
      <c r="I14" s="47"/>
      <c r="J14" s="47"/>
      <c r="K14" s="47"/>
      <c r="L14" s="47"/>
      <c r="M14" s="13"/>
      <c r="N14" s="13"/>
    </row>
    <row r="15" spans="2:14" ht="43.5" customHeight="1" x14ac:dyDescent="0.3">
      <c r="B15" s="34"/>
      <c r="C15" s="34"/>
      <c r="D15" s="34"/>
      <c r="E15" s="47"/>
      <c r="F15" s="236"/>
      <c r="G15" s="236"/>
      <c r="H15" s="47"/>
      <c r="I15" s="47"/>
      <c r="J15" s="47"/>
      <c r="K15" s="47"/>
      <c r="L15" s="47"/>
      <c r="M15" s="13"/>
      <c r="N15" s="13"/>
    </row>
    <row r="16" spans="2:14" ht="43.5" customHeight="1" x14ac:dyDescent="0.3">
      <c r="B16" s="230" t="s">
        <v>187</v>
      </c>
      <c r="C16" s="230"/>
      <c r="D16" s="230"/>
      <c r="E16" s="47"/>
      <c r="F16" s="47"/>
      <c r="G16" s="47"/>
      <c r="H16" s="47"/>
      <c r="I16" s="47"/>
      <c r="J16" s="47"/>
      <c r="K16" s="47"/>
      <c r="L16" s="47"/>
      <c r="M16" s="13"/>
      <c r="N16" s="13"/>
    </row>
    <row r="17" spans="2:14" ht="43.5" customHeight="1" x14ac:dyDescent="0.3">
      <c r="B17" s="231" t="s">
        <v>188</v>
      </c>
      <c r="C17" s="232"/>
      <c r="D17" s="232"/>
      <c r="E17" s="47"/>
      <c r="F17" s="47"/>
      <c r="G17" s="47"/>
      <c r="H17" s="47"/>
      <c r="I17" s="47"/>
      <c r="J17" s="47"/>
      <c r="K17" s="47"/>
      <c r="L17" s="47"/>
      <c r="M17" s="13"/>
      <c r="N17" s="13"/>
    </row>
    <row r="18" spans="2:14" ht="43.5" customHeight="1" x14ac:dyDescent="0.3">
      <c r="B18" s="13"/>
      <c r="C18" s="13"/>
      <c r="D18" s="47"/>
      <c r="E18" s="47"/>
      <c r="F18" s="47"/>
      <c r="G18" s="47"/>
      <c r="H18" s="47"/>
      <c r="I18" s="47"/>
      <c r="J18" s="47"/>
      <c r="K18" s="47"/>
      <c r="L18" s="47"/>
      <c r="M18" s="13"/>
      <c r="N18" s="13"/>
    </row>
    <row r="19" spans="2:14" s="116" customFormat="1" x14ac:dyDescent="0.3">
      <c r="B19" s="139"/>
      <c r="C19" s="14"/>
      <c r="D19" s="14"/>
      <c r="E19" s="14"/>
      <c r="F19" s="14"/>
      <c r="G19" s="14"/>
      <c r="H19" s="14"/>
      <c r="I19" s="14"/>
      <c r="J19" s="14"/>
      <c r="K19" s="14"/>
      <c r="L19" s="14"/>
      <c r="M19" s="14"/>
      <c r="N19" s="14"/>
    </row>
    <row r="20" spans="2:14" s="116" customFormat="1" x14ac:dyDescent="0.3">
      <c r="B20" s="14"/>
      <c r="C20" s="14"/>
      <c r="D20" s="14"/>
      <c r="E20" s="14"/>
      <c r="F20" s="14"/>
      <c r="G20" s="14"/>
      <c r="H20" s="14"/>
      <c r="I20" s="14"/>
      <c r="J20" s="14"/>
      <c r="K20" s="14"/>
      <c r="L20" s="14"/>
      <c r="M20" s="14"/>
      <c r="N20" s="14"/>
    </row>
  </sheetData>
  <mergeCells count="9">
    <mergeCell ref="B16:D16"/>
    <mergeCell ref="B17:D17"/>
    <mergeCell ref="B9:N9"/>
    <mergeCell ref="B10:N10"/>
    <mergeCell ref="B12:N12"/>
    <mergeCell ref="F15:G15"/>
    <mergeCell ref="B14:D14"/>
    <mergeCell ref="B13:D13"/>
    <mergeCell ref="B11:N11"/>
  </mergeCells>
  <hyperlinks>
    <hyperlink ref="B11:N11" r:id="rId1" display="Kontaktdaten für Feedback und Fragen: christian4.koch@tu-dortmund.de" xr:uid="{3C1D3CB9-039D-4B92-87C3-3DEF7442733A}"/>
  </hyperlinks>
  <pageMargins left="0.7" right="0.7" top="0.78740157499999996" bottom="0.78740157499999996" header="0.3" footer="0.3"/>
  <pageSetup paperSize="9" orientation="portrait" horizontalDpi="4294967293" verticalDpi="9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5:S77"/>
  <sheetViews>
    <sheetView showGridLines="0" topLeftCell="A13" zoomScale="85" zoomScaleNormal="85" zoomScalePageLayoutView="40" workbookViewId="0">
      <selection activeCell="G20" sqref="G20:I20"/>
    </sheetView>
  </sheetViews>
  <sheetFormatPr baseColWidth="10" defaultColWidth="11.453125" defaultRowHeight="14" x14ac:dyDescent="0.3"/>
  <cols>
    <col min="1" max="1" width="3.26953125" style="1" customWidth="1"/>
    <col min="2" max="2" width="2.26953125" style="1" customWidth="1"/>
    <col min="3" max="3" width="21.81640625" style="1" customWidth="1"/>
    <col min="4" max="4" width="19.26953125" style="1" customWidth="1"/>
    <col min="5" max="5" width="20.26953125" style="1" customWidth="1"/>
    <col min="6" max="6" width="2.26953125" style="1" customWidth="1"/>
    <col min="7" max="7" width="19.1796875" style="1" customWidth="1"/>
    <col min="8" max="8" width="11.453125" style="1"/>
    <col min="9" max="9" width="30.81640625" style="1" customWidth="1"/>
    <col min="10" max="10" width="2.26953125" style="1" customWidth="1"/>
    <col min="11" max="11" width="3.26953125" style="14" customWidth="1"/>
    <col min="12" max="12" width="1.26953125" style="14" customWidth="1"/>
    <col min="13" max="13" width="13.54296875" style="14" bestFit="1" customWidth="1"/>
    <col min="14" max="14" width="58.1796875" style="14" customWidth="1"/>
    <col min="15" max="15" width="13.54296875" style="1" customWidth="1"/>
    <col min="16" max="16" width="20.26953125" style="1" customWidth="1"/>
    <col min="17" max="17" width="25.26953125" style="1" customWidth="1"/>
    <col min="18" max="18" width="1.1796875" style="1" customWidth="1"/>
    <col min="19" max="16384" width="11.453125" style="1"/>
  </cols>
  <sheetData>
    <row r="5" spans="2:16" x14ac:dyDescent="0.3">
      <c r="O5" s="158"/>
      <c r="P5" s="158"/>
    </row>
    <row r="6" spans="2:16" ht="20" x14ac:dyDescent="0.3">
      <c r="B6" s="122" t="s">
        <v>191</v>
      </c>
      <c r="O6" s="158"/>
      <c r="P6" s="158"/>
    </row>
    <row r="7" spans="2:16" ht="3" customHeight="1" x14ac:dyDescent="0.3">
      <c r="O7" s="158"/>
      <c r="P7" s="158"/>
    </row>
    <row r="8" spans="2:16" ht="3" customHeight="1" x14ac:dyDescent="0.3">
      <c r="B8" s="6"/>
      <c r="C8" s="6"/>
      <c r="D8" s="6"/>
      <c r="E8" s="6"/>
      <c r="F8" s="6"/>
      <c r="G8" s="6"/>
      <c r="H8" s="6"/>
      <c r="I8" s="6"/>
      <c r="J8" s="6"/>
      <c r="O8" s="158"/>
      <c r="P8" s="158"/>
    </row>
    <row r="9" spans="2:16" ht="3" customHeight="1" x14ac:dyDescent="0.3">
      <c r="B9" s="89"/>
      <c r="C9" s="90"/>
      <c r="D9" s="90"/>
      <c r="E9" s="90"/>
      <c r="F9" s="90"/>
      <c r="G9" s="90"/>
      <c r="H9" s="90"/>
      <c r="I9" s="90"/>
      <c r="J9" s="91"/>
      <c r="K9" s="85"/>
      <c r="L9" s="85"/>
      <c r="M9" s="85"/>
      <c r="N9" s="85"/>
      <c r="O9" s="158"/>
      <c r="P9" s="158"/>
    </row>
    <row r="10" spans="2:16" x14ac:dyDescent="0.3">
      <c r="B10" s="27"/>
      <c r="C10" s="82" t="s">
        <v>18</v>
      </c>
      <c r="D10" s="21"/>
      <c r="E10" s="21"/>
      <c r="F10" s="21"/>
      <c r="G10" s="84" t="s">
        <v>81</v>
      </c>
      <c r="H10" s="21"/>
      <c r="I10" s="21"/>
      <c r="J10" s="21"/>
      <c r="K10" s="85"/>
      <c r="M10" s="17"/>
      <c r="O10" s="14"/>
      <c r="P10" s="14"/>
    </row>
    <row r="11" spans="2:16" ht="3" customHeight="1" x14ac:dyDescent="0.3">
      <c r="B11" s="78"/>
      <c r="C11" s="78"/>
      <c r="D11" s="78"/>
      <c r="E11" s="78"/>
      <c r="F11" s="78"/>
      <c r="G11" s="78"/>
      <c r="H11" s="78"/>
      <c r="I11" s="78"/>
      <c r="J11" s="78"/>
      <c r="K11" s="86"/>
      <c r="O11" s="14"/>
      <c r="P11" s="14"/>
    </row>
    <row r="12" spans="2:16" ht="25" customHeight="1" x14ac:dyDescent="0.3">
      <c r="B12" s="13"/>
      <c r="C12" s="239" t="s">
        <v>82</v>
      </c>
      <c r="D12" s="239"/>
      <c r="E12" s="239"/>
      <c r="F12" s="47"/>
      <c r="G12" s="240" t="s">
        <v>198</v>
      </c>
      <c r="H12" s="239"/>
      <c r="I12" s="239"/>
      <c r="J12" s="47"/>
      <c r="K12" s="87"/>
      <c r="N12" s="161"/>
      <c r="O12" s="14"/>
      <c r="P12" s="14"/>
    </row>
    <row r="13" spans="2:16" x14ac:dyDescent="0.3">
      <c r="B13" s="79"/>
      <c r="C13" s="79"/>
      <c r="D13" s="79"/>
      <c r="E13" s="47"/>
      <c r="F13" s="47"/>
      <c r="G13" s="47"/>
      <c r="H13" s="47"/>
      <c r="I13" s="47"/>
      <c r="J13" s="47"/>
      <c r="K13" s="87"/>
      <c r="O13" s="14"/>
      <c r="P13" s="14"/>
    </row>
    <row r="14" spans="2:16" x14ac:dyDescent="0.3">
      <c r="B14" s="27"/>
      <c r="C14" s="82" t="s">
        <v>1108</v>
      </c>
      <c r="D14" s="21"/>
      <c r="E14" s="21"/>
      <c r="F14" s="21"/>
      <c r="G14" s="84"/>
      <c r="H14" s="21"/>
      <c r="I14" s="21"/>
      <c r="J14" s="21"/>
      <c r="K14" s="85"/>
      <c r="M14" s="17"/>
      <c r="O14" s="14"/>
      <c r="P14" s="14"/>
    </row>
    <row r="15" spans="2:16" ht="3" customHeight="1" x14ac:dyDescent="0.3">
      <c r="B15" s="78"/>
      <c r="C15" s="78"/>
      <c r="D15" s="78"/>
      <c r="E15" s="78"/>
      <c r="F15" s="78"/>
      <c r="G15" s="78"/>
      <c r="H15" s="78"/>
      <c r="I15" s="78"/>
      <c r="J15" s="78"/>
      <c r="K15" s="86"/>
      <c r="O15" s="14"/>
      <c r="P15" s="14"/>
    </row>
    <row r="16" spans="2:16" ht="25" customHeight="1" x14ac:dyDescent="0.3">
      <c r="B16" s="13"/>
      <c r="C16" s="239" t="s">
        <v>1109</v>
      </c>
      <c r="D16" s="239"/>
      <c r="E16" s="239"/>
      <c r="F16" s="47"/>
      <c r="G16" s="84"/>
      <c r="H16" s="84"/>
      <c r="I16" s="84"/>
      <c r="J16" s="47"/>
      <c r="K16" s="87"/>
      <c r="N16" s="161"/>
      <c r="O16" s="14"/>
      <c r="P16" s="14"/>
    </row>
    <row r="17" spans="1:19" x14ac:dyDescent="0.3">
      <c r="B17" s="79"/>
      <c r="C17" s="79"/>
      <c r="D17" s="79"/>
      <c r="E17" s="47"/>
      <c r="F17" s="47"/>
      <c r="G17" s="47"/>
      <c r="H17" s="47"/>
      <c r="I17" s="47"/>
      <c r="J17" s="47"/>
      <c r="K17" s="87"/>
      <c r="O17" s="14"/>
      <c r="P17" s="14"/>
    </row>
    <row r="18" spans="1:19" x14ac:dyDescent="0.3">
      <c r="B18" s="114"/>
      <c r="C18" s="83" t="s">
        <v>54</v>
      </c>
      <c r="D18" s="80"/>
      <c r="E18" s="47"/>
      <c r="F18" s="81"/>
      <c r="G18" s="242" t="s">
        <v>78</v>
      </c>
      <c r="H18" s="242"/>
      <c r="I18" s="242"/>
      <c r="J18" s="47"/>
      <c r="K18" s="87"/>
      <c r="O18" s="14"/>
      <c r="P18" s="14"/>
    </row>
    <row r="19" spans="1:19" ht="3" customHeight="1" x14ac:dyDescent="0.3">
      <c r="B19" s="13"/>
      <c r="C19" s="13"/>
      <c r="D19" s="47"/>
      <c r="E19" s="47"/>
      <c r="F19" s="47"/>
      <c r="G19" s="47"/>
      <c r="H19" s="47"/>
      <c r="I19" s="47"/>
      <c r="J19" s="47"/>
      <c r="K19" s="87"/>
      <c r="O19" s="14"/>
      <c r="P19" s="14"/>
    </row>
    <row r="20" spans="1:19" ht="25" customHeight="1" x14ac:dyDescent="0.3">
      <c r="B20" s="13"/>
      <c r="C20" s="239" t="s">
        <v>76</v>
      </c>
      <c r="D20" s="239"/>
      <c r="E20" s="239"/>
      <c r="F20" s="47"/>
      <c r="G20" s="241" t="s">
        <v>875</v>
      </c>
      <c r="H20" s="241"/>
      <c r="I20" s="241"/>
      <c r="J20" s="47"/>
      <c r="K20" s="87"/>
      <c r="O20" s="14"/>
      <c r="P20" s="14"/>
    </row>
    <row r="21" spans="1:19" ht="12" customHeight="1" x14ac:dyDescent="0.3">
      <c r="B21" s="13"/>
      <c r="C21" s="13"/>
      <c r="D21" s="47"/>
      <c r="E21" s="47"/>
      <c r="F21" s="47"/>
      <c r="G21" s="47"/>
      <c r="H21" s="47"/>
      <c r="I21" s="47"/>
      <c r="J21" s="47"/>
      <c r="K21" s="87"/>
      <c r="O21" s="14"/>
      <c r="P21" s="14"/>
    </row>
    <row r="22" spans="1:19" s="14" customFormat="1" x14ac:dyDescent="0.3">
      <c r="B22" s="35"/>
      <c r="C22" s="35"/>
      <c r="D22" s="35"/>
      <c r="E22" s="35"/>
      <c r="F22" s="35"/>
      <c r="G22" s="35"/>
      <c r="H22" s="35"/>
      <c r="I22" s="35"/>
      <c r="J22" s="35"/>
      <c r="K22" s="35"/>
    </row>
    <row r="23" spans="1:19" s="14" customFormat="1" ht="18" x14ac:dyDescent="0.4">
      <c r="B23" s="92" t="s">
        <v>55</v>
      </c>
      <c r="C23" s="88"/>
      <c r="D23" s="88"/>
      <c r="L23" s="92" t="s">
        <v>56</v>
      </c>
    </row>
    <row r="24" spans="1:19" s="14" customFormat="1" ht="3" customHeight="1" x14ac:dyDescent="0.4">
      <c r="B24" s="92"/>
      <c r="C24" s="88"/>
      <c r="D24" s="88"/>
      <c r="L24" s="123"/>
      <c r="M24" s="8"/>
      <c r="N24" s="8"/>
      <c r="O24" s="8"/>
      <c r="P24" s="8"/>
    </row>
    <row r="25" spans="1:19" s="14" customFormat="1" ht="3" customHeight="1" x14ac:dyDescent="0.3">
      <c r="B25" s="99"/>
      <c r="C25" s="93"/>
      <c r="D25" s="93"/>
      <c r="E25" s="93"/>
      <c r="F25" s="93"/>
      <c r="G25" s="93"/>
      <c r="H25" s="93"/>
      <c r="I25" s="93"/>
      <c r="J25" s="93"/>
      <c r="L25" s="93"/>
      <c r="M25" s="93"/>
      <c r="N25" s="93"/>
      <c r="O25" s="93"/>
      <c r="P25" s="93"/>
    </row>
    <row r="26" spans="1:19" s="14" customFormat="1" ht="3" customHeight="1" thickBot="1" x14ac:dyDescent="0.35">
      <c r="B26" s="27"/>
      <c r="C26" s="27"/>
      <c r="D26" s="27"/>
      <c r="E26" s="27"/>
      <c r="F26" s="27"/>
      <c r="G26" s="27"/>
      <c r="H26" s="27"/>
      <c r="I26" s="27"/>
      <c r="J26" s="27"/>
      <c r="L26" s="8"/>
      <c r="M26" s="8"/>
      <c r="N26" s="8"/>
      <c r="O26" s="8"/>
      <c r="P26" s="8"/>
    </row>
    <row r="27" spans="1:19" ht="20.149999999999999" customHeight="1" thickTop="1" thickBot="1" x14ac:dyDescent="0.35">
      <c r="B27" s="34"/>
      <c r="C27" s="34"/>
      <c r="D27" s="34"/>
      <c r="E27" s="34"/>
      <c r="F27" s="34"/>
      <c r="G27" s="34"/>
      <c r="H27" s="34"/>
      <c r="I27" s="34"/>
      <c r="J27" s="34"/>
      <c r="M27" s="94" t="s">
        <v>40</v>
      </c>
      <c r="N27" s="95" t="s">
        <v>196</v>
      </c>
      <c r="O27" s="110" t="s">
        <v>32</v>
      </c>
      <c r="P27" s="110" t="s">
        <v>46</v>
      </c>
      <c r="Q27" s="133"/>
      <c r="R27" s="116"/>
      <c r="S27" s="116"/>
    </row>
    <row r="28" spans="1:19" ht="20.149999999999999" customHeight="1" thickTop="1" thickBot="1" x14ac:dyDescent="0.35">
      <c r="B28" s="34"/>
      <c r="C28" s="34"/>
      <c r="D28" s="34"/>
      <c r="E28" s="34"/>
      <c r="F28" s="34"/>
      <c r="G28" s="34"/>
      <c r="H28" s="34"/>
      <c r="I28" s="34"/>
      <c r="J28" s="34"/>
      <c r="M28" s="111" t="str" cm="1">
        <f t="array" ref="M28:N60">Data!B3:C35</f>
        <v>TD1.1</v>
      </c>
      <c r="N28" s="97" t="str">
        <v>Prozessinitierung</v>
      </c>
      <c r="O28" s="138">
        <f>Data!D3</f>
        <v>0</v>
      </c>
      <c r="P28" s="115" t="s">
        <v>64</v>
      </c>
      <c r="Q28" s="134"/>
      <c r="R28" s="56"/>
      <c r="S28" s="56"/>
    </row>
    <row r="29" spans="1:19" ht="20.149999999999999" customHeight="1" thickTop="1" thickBot="1" x14ac:dyDescent="0.35">
      <c r="B29" s="34"/>
      <c r="C29" s="34"/>
      <c r="D29" s="34"/>
      <c r="E29" s="34"/>
      <c r="F29" s="34"/>
      <c r="G29" s="34"/>
      <c r="H29" s="34"/>
      <c r="I29" s="34"/>
      <c r="J29" s="34"/>
      <c r="M29" s="111" t="str">
        <v>TD1.2</v>
      </c>
      <c r="N29" s="97" t="str">
        <v>Informationsbeschaffung</v>
      </c>
      <c r="O29" s="138">
        <f>Data!D4</f>
        <v>0</v>
      </c>
      <c r="P29" s="115" t="s">
        <v>64</v>
      </c>
      <c r="Q29" s="135"/>
      <c r="R29" s="56"/>
      <c r="S29" s="56"/>
    </row>
    <row r="30" spans="1:19" ht="20.149999999999999" customHeight="1" thickTop="1" thickBot="1" x14ac:dyDescent="0.35">
      <c r="B30" s="34"/>
      <c r="C30" s="34"/>
      <c r="D30" s="34"/>
      <c r="E30" s="34"/>
      <c r="F30" s="34"/>
      <c r="G30" s="34"/>
      <c r="H30" s="34"/>
      <c r="I30" s="34"/>
      <c r="J30" s="34"/>
      <c r="M30" s="111" t="str">
        <v>TD1.3</v>
      </c>
      <c r="N30" s="97" t="str">
        <v>Interne Zusammenarbeit</v>
      </c>
      <c r="O30" s="138">
        <f>Data!D5</f>
        <v>0</v>
      </c>
      <c r="P30" s="115" t="s">
        <v>64</v>
      </c>
      <c r="Q30" s="136"/>
      <c r="R30" s="56"/>
      <c r="S30" s="56"/>
    </row>
    <row r="31" spans="1:19" ht="20.149999999999999" customHeight="1" thickTop="1" thickBot="1" x14ac:dyDescent="0.35">
      <c r="B31" s="34"/>
      <c r="C31" s="34"/>
      <c r="D31" s="34"/>
      <c r="E31" s="34"/>
      <c r="F31" s="34"/>
      <c r="G31" s="34"/>
      <c r="H31" s="34"/>
      <c r="I31" s="34"/>
      <c r="J31" s="34"/>
      <c r="M31" s="111" t="str">
        <v>TD1.4</v>
      </c>
      <c r="N31" s="97" t="str">
        <v>Externe Zusammenarbeit</v>
      </c>
      <c r="O31" s="138">
        <f>Data!D6</f>
        <v>0</v>
      </c>
      <c r="P31" s="115" t="s">
        <v>64</v>
      </c>
      <c r="Q31" s="136"/>
      <c r="R31" s="56"/>
      <c r="S31" s="56"/>
    </row>
    <row r="32" spans="1:19" ht="20.149999999999999" customHeight="1" thickTop="1" thickBot="1" x14ac:dyDescent="0.35">
      <c r="A32" s="56"/>
      <c r="B32" s="34"/>
      <c r="C32" s="34"/>
      <c r="D32" s="34"/>
      <c r="E32" s="34"/>
      <c r="F32" s="34"/>
      <c r="G32" s="34"/>
      <c r="H32" s="34"/>
      <c r="I32" s="34"/>
      <c r="J32" s="34"/>
      <c r="M32" s="111" t="str">
        <v>TD1.5</v>
      </c>
      <c r="N32" s="97" t="str">
        <v>Rechtskonformität</v>
      </c>
      <c r="O32" s="138">
        <f>Data!D7</f>
        <v>0</v>
      </c>
      <c r="P32" s="115" t="s">
        <v>64</v>
      </c>
      <c r="Q32" s="136"/>
      <c r="R32" s="56"/>
      <c r="S32" s="56"/>
    </row>
    <row r="33" spans="1:19" ht="20.149999999999999" customHeight="1" thickTop="1" thickBot="1" x14ac:dyDescent="0.35">
      <c r="A33" s="56"/>
      <c r="B33" s="34"/>
      <c r="C33" s="34"/>
      <c r="D33" s="34"/>
      <c r="E33" s="34"/>
      <c r="F33" s="34"/>
      <c r="G33" s="34"/>
      <c r="H33" s="34"/>
      <c r="I33" s="34"/>
      <c r="J33" s="34"/>
      <c r="M33" s="111" t="str">
        <v>TD1.6</v>
      </c>
      <c r="N33" s="97" t="str">
        <v>Qualitätssicherung</v>
      </c>
      <c r="O33" s="138">
        <f>Data!D8</f>
        <v>0</v>
      </c>
      <c r="P33" s="115" t="s">
        <v>64</v>
      </c>
      <c r="Q33" s="135"/>
      <c r="R33" s="56"/>
      <c r="S33" s="56"/>
    </row>
    <row r="34" spans="1:19" ht="20.149999999999999" customHeight="1" thickTop="1" thickBot="1" x14ac:dyDescent="0.35">
      <c r="A34" s="56"/>
      <c r="B34" s="34"/>
      <c r="C34" s="34"/>
      <c r="D34" s="34"/>
      <c r="E34" s="34"/>
      <c r="F34" s="34"/>
      <c r="G34" s="34"/>
      <c r="H34" s="34"/>
      <c r="I34" s="34"/>
      <c r="J34" s="34"/>
      <c r="M34" s="111" t="str">
        <v>TD2.1</v>
      </c>
      <c r="N34" s="97" t="str">
        <v>Dokumentationsstrukturierung</v>
      </c>
      <c r="O34" s="138">
        <f>Data!D9</f>
        <v>0</v>
      </c>
      <c r="P34" s="115" t="s">
        <v>64</v>
      </c>
      <c r="Q34" s="136"/>
      <c r="R34" s="56"/>
      <c r="S34" s="56"/>
    </row>
    <row r="35" spans="1:19" ht="20.149999999999999" customHeight="1" thickTop="1" thickBot="1" x14ac:dyDescent="0.35">
      <c r="A35" s="56"/>
      <c r="B35" s="34"/>
      <c r="C35" s="34"/>
      <c r="D35" s="34"/>
      <c r="E35" s="34"/>
      <c r="F35" s="34"/>
      <c r="G35" s="34"/>
      <c r="H35" s="34"/>
      <c r="I35" s="34"/>
      <c r="J35" s="34"/>
      <c r="M35" s="111" t="str">
        <v>TD2.2</v>
      </c>
      <c r="N35" s="109" t="str">
        <v>Variantenmanagement</v>
      </c>
      <c r="O35" s="138">
        <f>Data!D10</f>
        <v>0</v>
      </c>
      <c r="P35" s="115" t="s">
        <v>64</v>
      </c>
      <c r="Q35" s="136"/>
      <c r="R35" s="56"/>
      <c r="S35" s="56"/>
    </row>
    <row r="36" spans="1:19" ht="20.149999999999999" customHeight="1" thickTop="1" thickBot="1" x14ac:dyDescent="0.35">
      <c r="A36" s="56"/>
      <c r="B36" s="34"/>
      <c r="C36" s="34"/>
      <c r="D36" s="34"/>
      <c r="E36" s="34"/>
      <c r="F36" s="34"/>
      <c r="G36" s="34"/>
      <c r="H36" s="34"/>
      <c r="I36" s="34"/>
      <c r="J36" s="34"/>
      <c r="M36" s="111" t="str">
        <v>TD2.3</v>
      </c>
      <c r="N36" s="97" t="str">
        <v>Metadatenmanagement</v>
      </c>
      <c r="O36" s="138">
        <f>Data!D11</f>
        <v>0</v>
      </c>
      <c r="P36" s="115" t="s">
        <v>64</v>
      </c>
      <c r="Q36" s="135"/>
      <c r="R36" s="56"/>
      <c r="S36" s="56"/>
    </row>
    <row r="37" spans="1:19" ht="20.149999999999999" customHeight="1" thickTop="1" thickBot="1" x14ac:dyDescent="0.35">
      <c r="A37" s="56"/>
      <c r="B37" s="34"/>
      <c r="C37" s="34"/>
      <c r="D37" s="34"/>
      <c r="E37" s="34"/>
      <c r="F37" s="34"/>
      <c r="G37" s="34"/>
      <c r="H37" s="34"/>
      <c r="I37" s="34"/>
      <c r="J37" s="34"/>
      <c r="M37" s="111" t="str">
        <v>TD2.4</v>
      </c>
      <c r="N37" s="97" t="str">
        <v>Terminologiemanagement</v>
      </c>
      <c r="O37" s="138">
        <f>Data!D12</f>
        <v>0</v>
      </c>
      <c r="P37" s="115" t="s">
        <v>64</v>
      </c>
      <c r="Q37" s="135"/>
      <c r="R37" s="56"/>
      <c r="S37" s="56"/>
    </row>
    <row r="38" spans="1:19" ht="20.149999999999999" customHeight="1" thickTop="1" thickBot="1" x14ac:dyDescent="0.35">
      <c r="A38" s="56"/>
      <c r="B38" s="34"/>
      <c r="C38" s="34"/>
      <c r="D38" s="34"/>
      <c r="E38" s="34"/>
      <c r="F38" s="34"/>
      <c r="G38" s="34"/>
      <c r="H38" s="34"/>
      <c r="I38" s="34"/>
      <c r="J38" s="34"/>
      <c r="M38" s="111" t="str">
        <v>TD2.5</v>
      </c>
      <c r="N38" s="97" t="str">
        <v>Übersetzungsmanagement</v>
      </c>
      <c r="O38" s="138">
        <f>Data!D13</f>
        <v>0</v>
      </c>
      <c r="P38" s="115" t="s">
        <v>64</v>
      </c>
      <c r="Q38" s="135"/>
      <c r="R38" s="56"/>
      <c r="S38" s="56"/>
    </row>
    <row r="39" spans="1:19" ht="20.149999999999999" customHeight="1" thickTop="1" thickBot="1" x14ac:dyDescent="0.35">
      <c r="A39" s="56"/>
      <c r="B39" s="34"/>
      <c r="C39" s="34"/>
      <c r="D39" s="34"/>
      <c r="E39" s="34"/>
      <c r="F39" s="34"/>
      <c r="G39" s="34"/>
      <c r="H39" s="34"/>
      <c r="I39" s="34"/>
      <c r="J39" s="34"/>
      <c r="M39" s="111" t="str">
        <v>TD2.6</v>
      </c>
      <c r="N39" s="97" t="str">
        <v>Aktualität</v>
      </c>
      <c r="O39" s="138">
        <f>Data!D14</f>
        <v>0</v>
      </c>
      <c r="P39" s="115" t="s">
        <v>64</v>
      </c>
      <c r="Q39" s="135"/>
      <c r="R39" s="56"/>
      <c r="S39" s="56"/>
    </row>
    <row r="40" spans="1:19" ht="20.149999999999999" customHeight="1" thickTop="1" thickBot="1" x14ac:dyDescent="0.35">
      <c r="B40" s="34"/>
      <c r="C40" s="34"/>
      <c r="D40" s="34"/>
      <c r="E40" s="34"/>
      <c r="F40" s="34"/>
      <c r="G40" s="34"/>
      <c r="H40" s="34"/>
      <c r="I40" s="34"/>
      <c r="J40" s="34"/>
      <c r="M40" s="111" t="str">
        <v>TD2.7</v>
      </c>
      <c r="N40" s="97" t="str">
        <v>Versionierung</v>
      </c>
      <c r="O40" s="138">
        <f>Data!D15</f>
        <v>0</v>
      </c>
      <c r="P40" s="115" t="s">
        <v>64</v>
      </c>
      <c r="Q40" s="136"/>
      <c r="R40" s="56"/>
      <c r="S40" s="56"/>
    </row>
    <row r="41" spans="1:19" ht="20.149999999999999" customHeight="1" thickTop="1" thickBot="1" x14ac:dyDescent="0.35">
      <c r="B41" s="34"/>
      <c r="C41" s="34"/>
      <c r="D41" s="34"/>
      <c r="E41" s="34"/>
      <c r="F41" s="34"/>
      <c r="G41" s="34"/>
      <c r="H41" s="34"/>
      <c r="I41" s="34"/>
      <c r="J41" s="34"/>
      <c r="M41" s="111" t="str">
        <v>TD2.8</v>
      </c>
      <c r="N41" s="109" t="str">
        <v>Ablage und Archivierung</v>
      </c>
      <c r="O41" s="138">
        <f>Data!D16</f>
        <v>0</v>
      </c>
      <c r="P41" s="115" t="s">
        <v>64</v>
      </c>
      <c r="Q41" s="137"/>
      <c r="R41" s="56"/>
      <c r="S41" s="56"/>
    </row>
    <row r="42" spans="1:19" ht="20.25" customHeight="1" thickTop="1" thickBot="1" x14ac:dyDescent="0.35">
      <c r="B42" s="34"/>
      <c r="C42" s="34"/>
      <c r="D42" s="34"/>
      <c r="E42" s="34"/>
      <c r="F42" s="34"/>
      <c r="G42" s="34"/>
      <c r="H42" s="34"/>
      <c r="I42" s="34"/>
      <c r="J42" s="34"/>
      <c r="M42" s="111" t="str">
        <v>TD3.1</v>
      </c>
      <c r="N42" s="109" t="str">
        <v>Publikation und Verwaltung</v>
      </c>
      <c r="O42" s="138">
        <f>Data!D17</f>
        <v>0</v>
      </c>
      <c r="P42" s="115" t="s">
        <v>64</v>
      </c>
      <c r="Q42" s="56"/>
      <c r="R42" s="56"/>
      <c r="S42" s="56"/>
    </row>
    <row r="43" spans="1:19" ht="20.25" customHeight="1" thickTop="1" thickBot="1" x14ac:dyDescent="0.35">
      <c r="B43" s="34"/>
      <c r="C43" s="34"/>
      <c r="D43" s="34"/>
      <c r="E43" s="34"/>
      <c r="F43" s="34"/>
      <c r="G43" s="34"/>
      <c r="H43" s="34"/>
      <c r="I43" s="34"/>
      <c r="J43" s="34"/>
      <c r="M43" s="111" t="str">
        <v>TD3.2</v>
      </c>
      <c r="N43" s="109" t="str">
        <v>Zugriffsmanagement</v>
      </c>
      <c r="O43" s="138">
        <f>Data!D18</f>
        <v>0</v>
      </c>
      <c r="P43" s="115" t="s">
        <v>64</v>
      </c>
      <c r="Q43" s="56"/>
      <c r="R43" s="56"/>
    </row>
    <row r="44" spans="1:19" ht="20.25" customHeight="1" thickTop="1" thickBot="1" x14ac:dyDescent="0.35">
      <c r="B44" s="34"/>
      <c r="C44" s="34"/>
      <c r="D44" s="34"/>
      <c r="E44" s="34"/>
      <c r="F44" s="34"/>
      <c r="G44" s="34"/>
      <c r="H44" s="34"/>
      <c r="I44" s="34"/>
      <c r="J44" s="34"/>
      <c r="M44" s="111" t="str">
        <v>TD3.3</v>
      </c>
      <c r="N44" s="109" t="str">
        <v>Zugänglichkeit der Dokumentation</v>
      </c>
      <c r="O44" s="138">
        <f>Data!D19</f>
        <v>0</v>
      </c>
      <c r="P44" s="115" t="s">
        <v>64</v>
      </c>
    </row>
    <row r="45" spans="1:19" ht="20.25" customHeight="1" thickTop="1" thickBot="1" x14ac:dyDescent="0.35">
      <c r="B45" s="34"/>
      <c r="C45" s="34"/>
      <c r="D45" s="34"/>
      <c r="E45" s="34"/>
      <c r="F45" s="34"/>
      <c r="G45" s="34"/>
      <c r="H45" s="34"/>
      <c r="I45" s="34"/>
      <c r="J45" s="34"/>
      <c r="M45" s="111" t="str">
        <v>TD3.4</v>
      </c>
      <c r="N45" s="109" t="str">
        <v>Kanäle und Plattformen</v>
      </c>
      <c r="O45" s="138">
        <f>Data!D20</f>
        <v>0</v>
      </c>
      <c r="P45" s="115" t="s">
        <v>64</v>
      </c>
    </row>
    <row r="46" spans="1:19" ht="20.25" customHeight="1" thickTop="1" thickBot="1" x14ac:dyDescent="0.35">
      <c r="B46" s="34"/>
      <c r="C46" s="34"/>
      <c r="D46" s="34"/>
      <c r="E46" s="34"/>
      <c r="F46" s="34"/>
      <c r="G46" s="34"/>
      <c r="H46" s="34"/>
      <c r="I46" s="34"/>
      <c r="J46" s="34"/>
      <c r="M46" s="111" t="str">
        <v>TD4.1</v>
      </c>
      <c r="N46" s="109" t="str">
        <v>Zielgruppenkenntnis</v>
      </c>
      <c r="O46" s="138">
        <f>Data!D21</f>
        <v>0</v>
      </c>
      <c r="P46" s="115" t="s">
        <v>64</v>
      </c>
    </row>
    <row r="47" spans="1:19" ht="20.25" customHeight="1" thickTop="1" thickBot="1" x14ac:dyDescent="0.35">
      <c r="B47" s="34"/>
      <c r="C47" s="34"/>
      <c r="D47" s="34"/>
      <c r="E47" s="34"/>
      <c r="F47" s="34"/>
      <c r="G47" s="34"/>
      <c r="H47" s="34"/>
      <c r="I47" s="34"/>
      <c r="J47" s="34"/>
      <c r="M47" s="111" t="str">
        <v>TD4.2</v>
      </c>
      <c r="N47" s="109" t="str">
        <v>Nutzerzentrierung</v>
      </c>
      <c r="O47" s="138">
        <f>Data!D22</f>
        <v>0</v>
      </c>
      <c r="P47" s="115" t="s">
        <v>64</v>
      </c>
    </row>
    <row r="48" spans="1:19" ht="20.25" customHeight="1" thickTop="1" thickBot="1" x14ac:dyDescent="0.35">
      <c r="B48" s="34"/>
      <c r="C48" s="34"/>
      <c r="D48" s="34"/>
      <c r="E48" s="34"/>
      <c r="F48" s="34"/>
      <c r="G48" s="34"/>
      <c r="H48" s="34"/>
      <c r="I48" s="34"/>
      <c r="J48" s="34"/>
      <c r="M48" s="111" t="str">
        <v>TD4.3</v>
      </c>
      <c r="N48" s="109" t="str">
        <v>Nutzerfreundlichkeit (Usability /Operability)</v>
      </c>
      <c r="O48" s="138">
        <f>Data!D23</f>
        <v>0</v>
      </c>
      <c r="P48" s="115" t="s">
        <v>64</v>
      </c>
    </row>
    <row r="49" spans="2:16" ht="20.25" customHeight="1" thickTop="1" thickBot="1" x14ac:dyDescent="0.35">
      <c r="B49" s="34"/>
      <c r="C49" s="34"/>
      <c r="D49" s="34"/>
      <c r="E49" s="34"/>
      <c r="F49" s="34"/>
      <c r="G49" s="34"/>
      <c r="H49" s="34"/>
      <c r="I49" s="34"/>
      <c r="J49" s="34"/>
      <c r="M49" s="111" t="str">
        <v>TD4.4</v>
      </c>
      <c r="N49" s="109" t="str">
        <v>Feedbackintegration</v>
      </c>
      <c r="O49" s="138">
        <f>Data!D24</f>
        <v>0</v>
      </c>
      <c r="P49" s="115" t="s">
        <v>64</v>
      </c>
    </row>
    <row r="50" spans="2:16" s="131" customFormat="1" ht="20.25" customHeight="1" thickTop="1" thickBot="1" x14ac:dyDescent="0.35">
      <c r="B50" s="34"/>
      <c r="C50" s="34"/>
      <c r="D50" s="34"/>
      <c r="E50" s="34"/>
      <c r="F50" s="34"/>
      <c r="G50" s="34"/>
      <c r="H50" s="34"/>
      <c r="I50" s="34"/>
      <c r="J50" s="34"/>
      <c r="K50" s="14"/>
      <c r="L50" s="14"/>
      <c r="M50" s="112" t="str">
        <v>OG1.1</v>
      </c>
      <c r="N50" s="109" t="str">
        <v>Wissensspeicherung</v>
      </c>
      <c r="O50" s="138">
        <f>Data!D25</f>
        <v>0</v>
      </c>
      <c r="P50" s="115" t="s">
        <v>64</v>
      </c>
    </row>
    <row r="51" spans="2:16" s="131" customFormat="1" ht="20.25" customHeight="1" thickTop="1" thickBot="1" x14ac:dyDescent="0.35">
      <c r="B51" s="34"/>
      <c r="C51" s="34"/>
      <c r="D51" s="34"/>
      <c r="E51" s="34"/>
      <c r="F51" s="34"/>
      <c r="G51" s="34"/>
      <c r="H51" s="34"/>
      <c r="I51" s="34"/>
      <c r="J51" s="34"/>
      <c r="K51" s="14"/>
      <c r="L51" s="14"/>
      <c r="M51" s="112" t="str">
        <v>OG1.2</v>
      </c>
      <c r="N51" s="109" t="str">
        <v>Services</v>
      </c>
      <c r="O51" s="138">
        <f>Data!D26</f>
        <v>0</v>
      </c>
      <c r="P51" s="115" t="s">
        <v>64</v>
      </c>
    </row>
    <row r="52" spans="2:16" s="131" customFormat="1" ht="20.25" customHeight="1" thickTop="1" thickBot="1" x14ac:dyDescent="0.35">
      <c r="B52" s="34"/>
      <c r="C52" s="34"/>
      <c r="D52" s="34"/>
      <c r="E52" s="34"/>
      <c r="F52" s="34"/>
      <c r="G52" s="34"/>
      <c r="H52" s="34"/>
      <c r="I52" s="34"/>
      <c r="J52" s="34"/>
      <c r="K52" s="14"/>
      <c r="L52" s="14"/>
      <c r="M52" s="112" t="str">
        <v>OG2.1</v>
      </c>
      <c r="N52" s="109" t="str">
        <v>Technische Redaktion</v>
      </c>
      <c r="O52" s="138">
        <f>Data!D27</f>
        <v>0</v>
      </c>
      <c r="P52" s="115" t="s">
        <v>64</v>
      </c>
    </row>
    <row r="53" spans="2:16" s="131" customFormat="1" ht="20.25" customHeight="1" thickTop="1" thickBot="1" x14ac:dyDescent="0.35">
      <c r="B53" s="34"/>
      <c r="C53" s="34"/>
      <c r="D53" s="34"/>
      <c r="E53" s="34"/>
      <c r="F53" s="34"/>
      <c r="G53" s="34"/>
      <c r="H53" s="34"/>
      <c r="I53" s="34"/>
      <c r="J53" s="34"/>
      <c r="K53" s="14"/>
      <c r="L53" s="14"/>
      <c r="M53" s="112" t="str">
        <v>OG2.2</v>
      </c>
      <c r="N53" s="109" t="str">
        <v>Stellenwert der technischen Dokumentation in der Organisation</v>
      </c>
      <c r="O53" s="138">
        <f>Data!D28</f>
        <v>0</v>
      </c>
      <c r="P53" s="115" t="s">
        <v>64</v>
      </c>
    </row>
    <row r="54" spans="2:16" s="131" customFormat="1" ht="20.25" customHeight="1" thickTop="1" thickBot="1" x14ac:dyDescent="0.35">
      <c r="B54" s="34"/>
      <c r="C54" s="34"/>
      <c r="D54" s="34"/>
      <c r="E54" s="34"/>
      <c r="F54" s="34"/>
      <c r="G54" s="34"/>
      <c r="H54" s="34"/>
      <c r="I54" s="34"/>
      <c r="J54" s="34"/>
      <c r="K54" s="14"/>
      <c r="L54" s="14"/>
      <c r="M54" s="112" t="str">
        <v>OG2.3</v>
      </c>
      <c r="N54" s="109" t="str">
        <v>Kulturelle Verankerung</v>
      </c>
      <c r="O54" s="138">
        <f>Data!D29</f>
        <v>0</v>
      </c>
      <c r="P54" s="115" t="s">
        <v>64</v>
      </c>
    </row>
    <row r="55" spans="2:16" s="131" customFormat="1" ht="20.25" customHeight="1" thickTop="1" thickBot="1" x14ac:dyDescent="0.35">
      <c r="B55" s="34"/>
      <c r="C55" s="34"/>
      <c r="D55" s="34"/>
      <c r="E55" s="34"/>
      <c r="F55" s="34"/>
      <c r="G55" s="34"/>
      <c r="H55" s="34"/>
      <c r="I55" s="34"/>
      <c r="J55" s="34"/>
      <c r="K55" s="14"/>
      <c r="L55" s="14"/>
      <c r="M55" s="112" t="str">
        <v>OG3.1</v>
      </c>
      <c r="N55" s="109" t="str">
        <v>Interne Schnittstellen</v>
      </c>
      <c r="O55" s="138">
        <f>Data!D30</f>
        <v>0</v>
      </c>
      <c r="P55" s="115" t="s">
        <v>64</v>
      </c>
    </row>
    <row r="56" spans="2:16" s="131" customFormat="1" ht="20.25" customHeight="1" thickTop="1" thickBot="1" x14ac:dyDescent="0.35">
      <c r="B56" s="34"/>
      <c r="C56" s="34"/>
      <c r="D56" s="34"/>
      <c r="E56" s="34"/>
      <c r="F56" s="34"/>
      <c r="G56" s="34"/>
      <c r="H56" s="34"/>
      <c r="I56" s="34"/>
      <c r="J56" s="34"/>
      <c r="K56" s="14"/>
      <c r="L56" s="14"/>
      <c r="M56" s="112" t="str">
        <v>OG3.2</v>
      </c>
      <c r="N56" s="109" t="str">
        <v>Externe Schnittstellen</v>
      </c>
      <c r="O56" s="138">
        <f>Data!D31</f>
        <v>0</v>
      </c>
      <c r="P56" s="115" t="s">
        <v>64</v>
      </c>
    </row>
    <row r="57" spans="2:16" s="131" customFormat="1" ht="20.25" customHeight="1" thickTop="1" thickBot="1" x14ac:dyDescent="0.35">
      <c r="B57" s="34"/>
      <c r="C57" s="34"/>
      <c r="D57" s="34"/>
      <c r="E57" s="34"/>
      <c r="F57" s="34"/>
      <c r="G57" s="34"/>
      <c r="H57" s="34"/>
      <c r="I57" s="34"/>
      <c r="J57" s="34"/>
      <c r="K57" s="14"/>
      <c r="L57" s="14"/>
      <c r="M57" s="112" t="str">
        <v>OG4.1</v>
      </c>
      <c r="N57" s="109" t="str">
        <v>Redaktionelle IT-Infrastruktur</v>
      </c>
      <c r="O57" s="138">
        <f>Data!D32</f>
        <v>0</v>
      </c>
      <c r="P57" s="115" t="s">
        <v>64</v>
      </c>
    </row>
    <row r="58" spans="2:16" s="131" customFormat="1" ht="20.25" customHeight="1" thickTop="1" thickBot="1" x14ac:dyDescent="0.35">
      <c r="B58" s="34"/>
      <c r="C58" s="34"/>
      <c r="D58" s="34"/>
      <c r="E58" s="34"/>
      <c r="F58" s="34"/>
      <c r="G58" s="34"/>
      <c r="H58" s="34"/>
      <c r="I58" s="34"/>
      <c r="J58" s="34"/>
      <c r="K58" s="14"/>
      <c r="L58" s="14"/>
      <c r="M58" s="112" t="str">
        <v>OG4.2</v>
      </c>
      <c r="N58" s="109" t="str">
        <v>Organisationale IT-Infrastruktur</v>
      </c>
      <c r="O58" s="138">
        <f>Data!D33</f>
        <v>0</v>
      </c>
      <c r="P58" s="115" t="s">
        <v>64</v>
      </c>
    </row>
    <row r="59" spans="2:16" s="131" customFormat="1" ht="20.25" customHeight="1" thickTop="1" thickBot="1" x14ac:dyDescent="0.35">
      <c r="B59" s="34"/>
      <c r="C59" s="34"/>
      <c r="D59" s="34"/>
      <c r="E59" s="34"/>
      <c r="F59" s="34"/>
      <c r="G59" s="34"/>
      <c r="H59" s="34"/>
      <c r="I59" s="34"/>
      <c r="J59" s="34"/>
      <c r="K59" s="14"/>
      <c r="L59" s="14"/>
      <c r="M59" s="112" t="str">
        <v>OG4.3</v>
      </c>
      <c r="N59" s="109" t="str">
        <v>Digitalisierung der Produkte</v>
      </c>
      <c r="O59" s="138">
        <f>Data!D34</f>
        <v>0</v>
      </c>
      <c r="P59" s="115" t="s">
        <v>64</v>
      </c>
    </row>
    <row r="60" spans="2:16" s="131" customFormat="1" ht="20.25" customHeight="1" thickTop="1" thickBot="1" x14ac:dyDescent="0.35">
      <c r="B60" s="34"/>
      <c r="C60" s="34"/>
      <c r="D60" s="34"/>
      <c r="E60" s="34"/>
      <c r="F60" s="34"/>
      <c r="G60" s="34"/>
      <c r="H60" s="34"/>
      <c r="I60" s="34"/>
      <c r="J60" s="34"/>
      <c r="K60" s="14"/>
      <c r="L60" s="14"/>
      <c r="M60" s="112" t="str">
        <v>OG4.4</v>
      </c>
      <c r="N60" s="109" t="str">
        <v>Produktions-IT-Infrastruktur</v>
      </c>
      <c r="O60" s="138">
        <f>Data!D35</f>
        <v>0</v>
      </c>
      <c r="P60" s="115" t="s">
        <v>64</v>
      </c>
    </row>
    <row r="61" spans="2:16" s="131" customFormat="1" ht="20.25" customHeight="1" thickTop="1" thickBot="1" x14ac:dyDescent="0.35">
      <c r="B61" s="34"/>
      <c r="C61" s="34"/>
      <c r="D61" s="34"/>
      <c r="E61" s="34"/>
      <c r="F61" s="34"/>
      <c r="G61" s="34"/>
      <c r="H61" s="34"/>
      <c r="I61" s="34"/>
      <c r="J61" s="34"/>
      <c r="K61" s="14"/>
      <c r="L61" s="14"/>
      <c r="M61" s="185"/>
      <c r="N61" s="186"/>
      <c r="O61" s="187"/>
      <c r="P61" s="188"/>
    </row>
    <row r="62" spans="2:16" s="131" customFormat="1" ht="20.25" customHeight="1" thickTop="1" thickBot="1" x14ac:dyDescent="0.35">
      <c r="B62" s="34"/>
      <c r="C62" s="34"/>
      <c r="D62" s="34"/>
      <c r="E62" s="34"/>
      <c r="F62" s="34"/>
      <c r="G62" s="34"/>
      <c r="H62" s="34"/>
      <c r="I62" s="34"/>
      <c r="J62" s="34"/>
      <c r="K62" s="14"/>
      <c r="L62" s="14"/>
      <c r="M62" s="185"/>
      <c r="N62" s="186"/>
      <c r="O62" s="187"/>
      <c r="P62" s="188"/>
    </row>
    <row r="63" spans="2:16" s="131" customFormat="1" ht="20.25" customHeight="1" thickTop="1" thickBot="1" x14ac:dyDescent="0.35">
      <c r="B63" s="34"/>
      <c r="C63" s="34"/>
      <c r="D63" s="34"/>
      <c r="E63" s="34"/>
      <c r="F63" s="34"/>
      <c r="G63" s="34"/>
      <c r="H63" s="34"/>
      <c r="I63" s="34"/>
      <c r="J63" s="34"/>
      <c r="K63" s="14"/>
      <c r="L63" s="14"/>
      <c r="M63" s="113" t="s">
        <v>62</v>
      </c>
      <c r="N63" s="186"/>
      <c r="O63" s="187"/>
      <c r="P63" s="188"/>
    </row>
    <row r="64" spans="2:16" s="131" customFormat="1" ht="20.25" customHeight="1" thickTop="1" thickBot="1" x14ac:dyDescent="0.35">
      <c r="B64" s="34"/>
      <c r="C64" s="34"/>
      <c r="D64" s="34"/>
      <c r="E64" s="34"/>
      <c r="F64" s="34"/>
      <c r="G64" s="34"/>
      <c r="H64" s="34"/>
      <c r="I64" s="34"/>
      <c r="J64" s="34"/>
      <c r="K64" s="14"/>
      <c r="L64" s="14"/>
      <c r="M64" s="124" t="s">
        <v>197</v>
      </c>
      <c r="N64" s="186"/>
      <c r="O64" s="187"/>
      <c r="P64" s="188"/>
    </row>
    <row r="65" spans="2:16" s="131" customFormat="1" ht="20.25" customHeight="1" thickTop="1" thickBot="1" x14ac:dyDescent="0.35">
      <c r="B65" s="34"/>
      <c r="C65" s="34"/>
      <c r="D65" s="34"/>
      <c r="E65" s="34"/>
      <c r="F65" s="34"/>
      <c r="G65" s="34"/>
      <c r="H65" s="34"/>
      <c r="I65" s="34"/>
      <c r="J65" s="34"/>
      <c r="K65" s="14"/>
      <c r="L65" s="14"/>
      <c r="M65" s="124" t="s">
        <v>876</v>
      </c>
      <c r="N65" s="186"/>
      <c r="O65" s="187"/>
      <c r="P65" s="188"/>
    </row>
    <row r="66" spans="2:16" ht="20.25" customHeight="1" thickTop="1" thickBot="1" x14ac:dyDescent="0.35">
      <c r="B66" s="34"/>
      <c r="C66" s="34"/>
      <c r="D66" s="34"/>
      <c r="E66" s="34"/>
      <c r="F66" s="34"/>
      <c r="G66" s="34"/>
      <c r="H66" s="34"/>
      <c r="I66" s="34"/>
      <c r="J66" s="34"/>
      <c r="M66" s="124" t="s">
        <v>870</v>
      </c>
      <c r="N66" s="186"/>
      <c r="O66" s="187"/>
      <c r="P66" s="188"/>
    </row>
    <row r="67" spans="2:16" ht="20.25" customHeight="1" thickTop="1" x14ac:dyDescent="0.3">
      <c r="B67" s="34"/>
      <c r="C67" s="34"/>
      <c r="D67" s="34"/>
      <c r="E67" s="34"/>
      <c r="F67" s="34"/>
      <c r="G67" s="34"/>
      <c r="H67" s="34"/>
      <c r="I67" s="34"/>
      <c r="J67" s="34"/>
      <c r="M67" s="124" t="s">
        <v>877</v>
      </c>
    </row>
    <row r="68" spans="2:16" x14ac:dyDescent="0.3">
      <c r="B68" s="34"/>
      <c r="C68" s="34"/>
      <c r="D68" s="34"/>
      <c r="E68" s="34"/>
      <c r="F68" s="34"/>
      <c r="G68" s="34"/>
      <c r="H68" s="34"/>
      <c r="I68" s="34"/>
      <c r="J68" s="34"/>
      <c r="M68" s="124" t="s">
        <v>871</v>
      </c>
    </row>
    <row r="69" spans="2:16" x14ac:dyDescent="0.3">
      <c r="B69" s="34"/>
      <c r="C69" s="34"/>
      <c r="D69" s="34"/>
      <c r="E69" s="34"/>
      <c r="F69" s="34"/>
      <c r="G69" s="34"/>
      <c r="H69" s="34"/>
      <c r="I69" s="34"/>
      <c r="J69" s="34"/>
    </row>
    <row r="70" spans="2:16" x14ac:dyDescent="0.3">
      <c r="B70" s="34"/>
      <c r="C70" s="34"/>
      <c r="D70" s="34"/>
      <c r="E70" s="34"/>
      <c r="F70" s="34"/>
      <c r="G70" s="34"/>
      <c r="H70" s="34"/>
      <c r="I70" s="34"/>
      <c r="J70" s="34"/>
    </row>
    <row r="71" spans="2:16" x14ac:dyDescent="0.3">
      <c r="B71" s="34"/>
      <c r="C71" s="34"/>
      <c r="D71" s="34"/>
      <c r="E71" s="34"/>
      <c r="F71" s="34"/>
      <c r="G71" s="34"/>
      <c r="H71" s="34"/>
      <c r="I71" s="34"/>
      <c r="J71" s="34"/>
    </row>
    <row r="72" spans="2:16" x14ac:dyDescent="0.3">
      <c r="B72" s="34"/>
      <c r="C72" s="34"/>
      <c r="D72" s="34"/>
      <c r="E72" s="34"/>
      <c r="F72" s="34"/>
      <c r="G72" s="34"/>
      <c r="H72" s="34"/>
      <c r="I72" s="34"/>
      <c r="J72" s="34"/>
    </row>
    <row r="73" spans="2:16" x14ac:dyDescent="0.3">
      <c r="B73" s="34"/>
      <c r="C73" s="34"/>
      <c r="D73" s="34"/>
      <c r="E73" s="34"/>
      <c r="F73" s="34"/>
      <c r="G73" s="34"/>
      <c r="H73" s="34"/>
      <c r="I73" s="34"/>
      <c r="J73" s="34"/>
    </row>
    <row r="74" spans="2:16" x14ac:dyDescent="0.3">
      <c r="B74" s="34"/>
      <c r="C74" s="34"/>
      <c r="D74" s="34"/>
      <c r="E74" s="34"/>
      <c r="F74" s="34"/>
      <c r="G74" s="34"/>
      <c r="H74" s="34"/>
      <c r="I74" s="34"/>
      <c r="J74" s="34"/>
    </row>
    <row r="75" spans="2:16" x14ac:dyDescent="0.3">
      <c r="B75" s="34"/>
      <c r="C75" s="34"/>
      <c r="D75" s="34"/>
      <c r="E75" s="34"/>
      <c r="F75" s="34"/>
      <c r="G75" s="34"/>
      <c r="H75" s="34"/>
      <c r="I75" s="34"/>
      <c r="J75" s="34"/>
    </row>
    <row r="76" spans="2:16" x14ac:dyDescent="0.3">
      <c r="B76" s="34"/>
      <c r="C76" s="34"/>
      <c r="D76" s="34"/>
      <c r="E76" s="34"/>
      <c r="F76" s="34"/>
      <c r="G76" s="34"/>
      <c r="H76" s="34"/>
      <c r="I76" s="34"/>
      <c r="J76" s="34"/>
    </row>
    <row r="77" spans="2:16" x14ac:dyDescent="0.3">
      <c r="B77" s="34"/>
      <c r="C77" s="34"/>
      <c r="D77" s="34"/>
      <c r="E77" s="34"/>
      <c r="F77" s="34"/>
      <c r="G77" s="34"/>
      <c r="H77" s="34"/>
      <c r="I77" s="34"/>
      <c r="J77" s="34"/>
    </row>
  </sheetData>
  <protectedRanges>
    <protectedRange sqref="P28:P66" name="Bereich2"/>
    <protectedRange sqref="C10:I20" name="Bereich1"/>
  </protectedRanges>
  <mergeCells count="6">
    <mergeCell ref="C12:E12"/>
    <mergeCell ref="C20:E20"/>
    <mergeCell ref="G12:I12"/>
    <mergeCell ref="G20:I20"/>
    <mergeCell ref="G18:I18"/>
    <mergeCell ref="C16:E16"/>
  </mergeCells>
  <phoneticPr fontId="33" type="noConversion"/>
  <conditionalFormatting sqref="G20:I20">
    <cfRule type="containsText" dxfId="67" priority="1" operator="containsText" text="Bitte auswählen">
      <formula>NOT(ISERROR(SEARCH("Bitte auswählen",G20)))</formula>
    </cfRule>
  </conditionalFormatting>
  <hyperlinks>
    <hyperlink ref="P28" location="TD1.1!A1" display="Hier klicken" xr:uid="{00000000-0004-0000-0200-000000000000}"/>
    <hyperlink ref="P29:P60" location="TD1.1!A1" display="Hier klicken" xr:uid="{1E969D3A-FC66-4FD9-8B66-B5DC44E997AE}"/>
    <hyperlink ref="P29" location="TD1.2!A1" display="Hier klicken" xr:uid="{F2B874FA-3DFD-4608-9D29-BFC713FB94E2}"/>
    <hyperlink ref="P30" location="TD1.3!A1" display="Hier klicken" xr:uid="{F6D7EDEE-CC49-45C3-8838-CF60AA50E0E9}"/>
    <hyperlink ref="P31" location="TD1.4!A1" display="Hier klicken" xr:uid="{139495B2-56F9-4329-B7E8-A9EC28974C29}"/>
    <hyperlink ref="P32" location="TD1.5!A1" display="Hier klicken" xr:uid="{D009AC64-069D-4F79-9BE6-B1D27154CB0A}"/>
    <hyperlink ref="P33" location="TD1.6!A1" display="Hier klicken" xr:uid="{AC2AC029-7CAB-4816-A10C-F48469D42714}"/>
    <hyperlink ref="P34" location="TD2.1!A1" display="Hier klicken" xr:uid="{28EABAD6-34D5-438A-A227-9B54AEFBCD57}"/>
    <hyperlink ref="P35" location="TD2.2!A1" display="Hier klicken" xr:uid="{A965F3FD-A1E3-46DA-BC4D-1C7C33B53223}"/>
    <hyperlink ref="P36" location="TD2.3!A1" display="Hier klicken" xr:uid="{FE60EB6F-B4F3-4026-8889-EC1D6269FEB4}"/>
    <hyperlink ref="P37" location="TD2.4!A1" display="Hier klicken" xr:uid="{0F0210B0-803C-43B9-B192-96A0DD78C1BC}"/>
    <hyperlink ref="P38" location="TD2.5!A1" display="Hier klicken" xr:uid="{03BCE181-9396-4602-B3D3-8031AFF90E34}"/>
    <hyperlink ref="P39" location="TD2.6!A1" display="Hier klicken" xr:uid="{CF347268-4282-411F-8A02-15843D79DD2E}"/>
    <hyperlink ref="P40" location="TD2.7!A1" display="Hier klicken" xr:uid="{7590C536-15F9-4F4C-AA95-ADDD075403BC}"/>
    <hyperlink ref="P41" location="TD2.8!A1" display="Hier klicken" xr:uid="{F14D7AB3-F848-45D2-93ED-8BE9AF9D7273}"/>
    <hyperlink ref="P42" location="TD3.1!A1" display="Hier klicken" xr:uid="{D2CF3E55-4403-430D-88A2-F94308A64F5A}"/>
    <hyperlink ref="P43" location="TD3.2!A1" display="Hier klicken" xr:uid="{A2A656AF-682C-4E6F-A8BC-66F081C7572F}"/>
    <hyperlink ref="P44" location="TD3.3!A1" display="Hier klicken" xr:uid="{08767A91-E9C7-463A-B352-6887580299B1}"/>
    <hyperlink ref="P45" location="TD3.4!A1" display="Hier klicken" xr:uid="{8291E19D-9B2D-4521-89A3-95A71A655BB0}"/>
    <hyperlink ref="P46" location="TD4.1!A1" display="Hier klicken" xr:uid="{A8204176-6B2B-4109-A8B8-EC7B34048CF7}"/>
    <hyperlink ref="P47" location="TD4.2!A1" display="Hier klicken" xr:uid="{27A0908E-A558-4453-B446-AE91F6B34521}"/>
    <hyperlink ref="P48" location="TD4.3!A1" display="Hier klicken" xr:uid="{59C72337-6CF2-4DC9-B0BF-E28E932B55F1}"/>
    <hyperlink ref="P49" location="TD4.4!A1" display="Hier klicken" xr:uid="{76CF4604-A4FD-49CB-945C-F2A723D001B9}"/>
    <hyperlink ref="P50" location="OG1.1!A1" display="Hier klicken" xr:uid="{9EFA6C16-CC93-42CA-80F2-26CC11965F01}"/>
    <hyperlink ref="P51" location="OG1.2!A1" display="Hier klicken" xr:uid="{508E8A41-E18E-4D5E-92E1-08EB1C6A1B47}"/>
    <hyperlink ref="P52" location="OG2.1!A1" display="Hier klicken" xr:uid="{3473B58A-4755-4039-8E97-4E8C25AC0715}"/>
    <hyperlink ref="P53" location="OG2.2!A1" display="Hier klicken" xr:uid="{53E7CCBC-9789-400C-AF1B-E75C2972C0D5}"/>
    <hyperlink ref="P54" location="OG2.3!A1" display="Hier klicken" xr:uid="{87642FA1-EB3E-4521-9F05-CD3CD666696B}"/>
    <hyperlink ref="P55" location="OG3.1!A1" display="Hier klicken" xr:uid="{5AAE98B1-7830-4B68-9A79-3BD16359F6EC}"/>
    <hyperlink ref="P56" location="OG3.2!A1" display="Hier klicken" xr:uid="{366AFE17-DF05-43FD-9017-CDB63B05E554}"/>
    <hyperlink ref="P57" location="OG4.1!A1" display="Hier klicken" xr:uid="{FF942A34-FB30-488C-B43A-A8F942052BB2}"/>
    <hyperlink ref="P58" location="OG4.2!A1" display="Hier klicken" xr:uid="{0928D5FF-284F-4CBA-91D9-F0BBCE70A2CA}"/>
    <hyperlink ref="P59" location="OG4.3!A1" display="Hier klicken" xr:uid="{5D81AB34-D54A-48D6-ADD9-F7768CE02545}"/>
    <hyperlink ref="P60" location="OG4.4!A1" display="Hier klicken" xr:uid="{BE34453C-3D85-42BF-B057-ED3B816159CE}"/>
  </hyperlinks>
  <pageMargins left="0.7" right="0.7" top="0.78740157499999996" bottom="0.78740157499999996" header="0.3" footer="0.3"/>
  <pageSetup paperSize="9" scale="65" orientation="portrait" horizontalDpi="4294967293"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promptTitle="Beschreibung der Zielniveaus" prompt="Wählen Sie hier ein voreingestelltes Ziel aus oder definieren Sie ein individuelles Ziel, indem Sie rechts auf den Button &quot;Eigenes Ziel definieren&quot; klicken und anschließend eigene Reifegrade für die Themenbereiche definieren." xr:uid="{00000000-0002-0000-0200-000000000000}">
          <x14:formula1>
            <xm:f>Data!$O$3:$S$3</xm:f>
          </x14:formula1>
          <xm:sqref>G20:I20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6:P48"/>
  <sheetViews>
    <sheetView showGridLines="0" zoomScale="85" zoomScaleNormal="85" workbookViewId="0">
      <selection activeCell="D17" sqref="D17:J17"/>
    </sheetView>
  </sheetViews>
  <sheetFormatPr baseColWidth="10" defaultColWidth="11.453125" defaultRowHeight="14" x14ac:dyDescent="0.3"/>
  <cols>
    <col min="1" max="1" width="3.26953125" style="1" customWidth="1"/>
    <col min="2" max="2" width="2.54296875" style="1" customWidth="1"/>
    <col min="3" max="3" width="25.453125" style="1" bestFit="1" customWidth="1"/>
    <col min="4" max="4" width="19.26953125" style="1" customWidth="1"/>
    <col min="5" max="5" width="18.7265625" style="1" bestFit="1" customWidth="1"/>
    <col min="6" max="6" width="22.26953125" style="1" customWidth="1"/>
    <col min="7" max="7" width="19.1796875" style="1" customWidth="1"/>
    <col min="8" max="12" width="11.453125" style="1"/>
    <col min="13" max="13" width="15.1796875" style="1" customWidth="1"/>
    <col min="14" max="14" width="3.453125" style="1" customWidth="1"/>
    <col min="15" max="16384" width="11.453125" style="1"/>
  </cols>
  <sheetData>
    <row r="6" spans="2:14" ht="18" x14ac:dyDescent="0.3">
      <c r="B6" s="5" t="s">
        <v>19</v>
      </c>
    </row>
    <row r="7" spans="2:14" ht="3.65" customHeight="1" x14ac:dyDescent="0.3"/>
    <row r="8" spans="2:14" ht="3" customHeight="1" x14ac:dyDescent="0.3">
      <c r="B8" s="6"/>
      <c r="C8" s="6"/>
      <c r="D8" s="6"/>
      <c r="E8" s="6"/>
      <c r="F8" s="6"/>
      <c r="G8" s="6"/>
      <c r="H8" s="6"/>
      <c r="I8" s="6"/>
      <c r="J8" s="6"/>
      <c r="K8" s="6"/>
      <c r="L8" s="6"/>
      <c r="M8" s="6"/>
      <c r="N8" s="6"/>
    </row>
    <row r="9" spans="2:14" ht="35.25" customHeight="1" x14ac:dyDescent="0.3">
      <c r="B9" s="244" t="s">
        <v>872</v>
      </c>
      <c r="C9" s="244"/>
      <c r="D9" s="244"/>
      <c r="E9" s="244"/>
      <c r="F9" s="244"/>
      <c r="G9" s="244"/>
      <c r="H9" s="244"/>
      <c r="I9" s="244"/>
      <c r="J9" s="244"/>
      <c r="K9" s="244"/>
      <c r="L9" s="244"/>
      <c r="M9" s="244"/>
      <c r="N9" s="244"/>
    </row>
    <row r="10" spans="2:14" x14ac:dyDescent="0.3">
      <c r="B10" s="245"/>
      <c r="C10" s="245"/>
      <c r="D10" s="245"/>
      <c r="E10" s="245"/>
      <c r="F10" s="245"/>
      <c r="G10" s="245"/>
      <c r="H10" s="245"/>
      <c r="I10" s="245"/>
      <c r="J10" s="245"/>
      <c r="K10" s="245"/>
      <c r="L10" s="245"/>
      <c r="M10" s="245"/>
      <c r="N10" s="245"/>
    </row>
    <row r="11" spans="2:14" x14ac:dyDescent="0.3">
      <c r="B11" s="246" t="s">
        <v>20</v>
      </c>
      <c r="C11" s="246"/>
      <c r="D11" s="246"/>
      <c r="E11" s="246"/>
      <c r="F11" s="246"/>
      <c r="G11" s="246"/>
      <c r="H11" s="246"/>
      <c r="I11" s="246"/>
      <c r="J11" s="246"/>
      <c r="K11" s="246"/>
      <c r="L11" s="21"/>
      <c r="M11" s="21"/>
      <c r="N11" s="21"/>
    </row>
    <row r="12" spans="2:14" ht="7" customHeight="1" x14ac:dyDescent="0.3">
      <c r="B12" s="9"/>
      <c r="C12" s="25"/>
      <c r="D12" s="23"/>
      <c r="E12" s="23"/>
      <c r="F12" s="23"/>
      <c r="G12" s="23"/>
      <c r="H12" s="23"/>
      <c r="I12" s="23"/>
      <c r="J12" s="23"/>
      <c r="K12" s="4"/>
      <c r="L12" s="4"/>
      <c r="M12" s="9"/>
      <c r="N12" s="9"/>
    </row>
    <row r="13" spans="2:14" ht="19.5" customHeight="1" thickBot="1" x14ac:dyDescent="0.35">
      <c r="B13" s="9"/>
      <c r="C13" s="31" t="s">
        <v>21</v>
      </c>
      <c r="D13" s="32" t="s">
        <v>13</v>
      </c>
      <c r="E13" s="32"/>
      <c r="F13" s="32"/>
      <c r="G13" s="32"/>
      <c r="H13" s="32"/>
      <c r="I13" s="32"/>
      <c r="J13" s="32"/>
      <c r="K13" s="4"/>
      <c r="L13" s="4"/>
      <c r="M13" s="9"/>
      <c r="N13" s="9"/>
    </row>
    <row r="14" spans="2:14" ht="39" customHeight="1" x14ac:dyDescent="0.3">
      <c r="B14" s="4"/>
      <c r="C14" s="29" t="s">
        <v>217</v>
      </c>
      <c r="D14" s="247" t="s">
        <v>879</v>
      </c>
      <c r="E14" s="247"/>
      <c r="F14" s="247"/>
      <c r="G14" s="247"/>
      <c r="H14" s="247"/>
      <c r="I14" s="247"/>
      <c r="J14" s="247"/>
      <c r="K14" s="4"/>
      <c r="L14" s="4"/>
      <c r="M14" s="4"/>
      <c r="N14" s="4"/>
    </row>
    <row r="15" spans="2:14" ht="45" customHeight="1" x14ac:dyDescent="0.3">
      <c r="B15" s="4"/>
      <c r="C15" s="29" t="s">
        <v>873</v>
      </c>
      <c r="D15" s="249" t="s">
        <v>880</v>
      </c>
      <c r="E15" s="249"/>
      <c r="F15" s="249"/>
      <c r="G15" s="249"/>
      <c r="H15" s="249"/>
      <c r="I15" s="249"/>
      <c r="J15" s="249"/>
      <c r="K15" s="4"/>
      <c r="L15" s="4"/>
      <c r="M15" s="4"/>
      <c r="N15" s="4"/>
    </row>
    <row r="16" spans="2:14" ht="47.25" customHeight="1" x14ac:dyDescent="0.3">
      <c r="B16" s="4"/>
      <c r="C16" s="29" t="s">
        <v>865</v>
      </c>
      <c r="D16" s="249" t="s">
        <v>881</v>
      </c>
      <c r="E16" s="249"/>
      <c r="F16" s="249"/>
      <c r="G16" s="249"/>
      <c r="H16" s="249"/>
      <c r="I16" s="249"/>
      <c r="J16" s="249"/>
      <c r="K16" s="4"/>
      <c r="L16" s="4"/>
      <c r="M16" s="4"/>
      <c r="N16" s="4"/>
    </row>
    <row r="17" spans="2:16" ht="35.15" customHeight="1" x14ac:dyDescent="0.3">
      <c r="B17" s="4"/>
      <c r="C17" s="30" t="s">
        <v>874</v>
      </c>
      <c r="D17" s="249" t="s">
        <v>883</v>
      </c>
      <c r="E17" s="249"/>
      <c r="F17" s="249"/>
      <c r="G17" s="249"/>
      <c r="H17" s="249"/>
      <c r="I17" s="249"/>
      <c r="J17" s="249"/>
      <c r="K17" s="4"/>
      <c r="L17" s="4"/>
      <c r="M17" s="4"/>
      <c r="N17" s="4"/>
    </row>
    <row r="18" spans="2:16" ht="35.15" customHeight="1" x14ac:dyDescent="0.3">
      <c r="B18" s="4"/>
      <c r="C18" s="22" t="s">
        <v>866</v>
      </c>
      <c r="D18" s="250" t="s">
        <v>882</v>
      </c>
      <c r="E18" s="250"/>
      <c r="F18" s="250"/>
      <c r="G18" s="250"/>
      <c r="H18" s="250"/>
      <c r="I18" s="250"/>
      <c r="J18" s="250"/>
      <c r="K18" s="4"/>
      <c r="L18" s="4"/>
      <c r="M18" s="4"/>
      <c r="N18" s="4"/>
    </row>
    <row r="19" spans="2:16" x14ac:dyDescent="0.3">
      <c r="B19" s="4"/>
      <c r="C19" s="4"/>
      <c r="D19" s="4"/>
      <c r="E19" s="4"/>
      <c r="F19" s="4"/>
      <c r="G19" s="4"/>
      <c r="H19" s="4"/>
      <c r="I19" s="4"/>
      <c r="J19" s="4"/>
      <c r="K19" s="4"/>
      <c r="L19" s="4"/>
      <c r="M19" s="4"/>
      <c r="N19" s="4"/>
    </row>
    <row r="20" spans="2:16" x14ac:dyDescent="0.3">
      <c r="B20" s="248" t="s">
        <v>22</v>
      </c>
      <c r="C20" s="248"/>
      <c r="D20" s="248"/>
      <c r="E20" s="248"/>
      <c r="F20" s="248"/>
      <c r="G20" s="248"/>
      <c r="H20" s="248"/>
      <c r="I20" s="248"/>
      <c r="J20" s="248"/>
      <c r="K20" s="248"/>
      <c r="L20" s="248"/>
      <c r="M20" s="248"/>
      <c r="N20" s="248"/>
    </row>
    <row r="21" spans="2:16" x14ac:dyDescent="0.3">
      <c r="B21" s="11"/>
      <c r="C21" s="4"/>
      <c r="D21" s="4"/>
      <c r="E21" s="4"/>
      <c r="F21" s="4"/>
      <c r="G21" s="4"/>
      <c r="H21" s="4"/>
      <c r="I21" s="4"/>
      <c r="J21" s="4"/>
      <c r="K21" s="4"/>
      <c r="L21" s="4"/>
      <c r="M21" s="4"/>
      <c r="N21" s="4"/>
    </row>
    <row r="22" spans="2:16" x14ac:dyDescent="0.3">
      <c r="B22" s="251" t="s">
        <v>23</v>
      </c>
      <c r="C22" s="251"/>
      <c r="D22" s="251"/>
      <c r="E22" s="251"/>
      <c r="F22" s="251"/>
      <c r="G22" s="251"/>
      <c r="H22" s="251"/>
      <c r="I22" s="251"/>
      <c r="J22" s="251"/>
      <c r="K22" s="251"/>
      <c r="L22" s="251"/>
      <c r="M22" s="251"/>
      <c r="N22" s="251"/>
    </row>
    <row r="23" spans="2:16" ht="7" customHeight="1" x14ac:dyDescent="0.3">
      <c r="B23" s="12"/>
      <c r="C23" s="4"/>
      <c r="D23" s="4"/>
      <c r="E23" s="4"/>
      <c r="F23" s="4"/>
      <c r="G23" s="4"/>
      <c r="H23" s="4"/>
      <c r="I23" s="4"/>
      <c r="J23" s="4"/>
      <c r="K23" s="4"/>
      <c r="L23" s="4"/>
      <c r="M23" s="4"/>
      <c r="N23" s="4"/>
    </row>
    <row r="24" spans="2:16" ht="14.5" thickBot="1" x14ac:dyDescent="0.35">
      <c r="B24" s="12"/>
      <c r="C24" s="10" t="s">
        <v>24</v>
      </c>
      <c r="D24" s="253" t="s">
        <v>66</v>
      </c>
      <c r="E24" s="253"/>
      <c r="F24" s="253"/>
      <c r="G24" s="253"/>
      <c r="H24" s="253"/>
      <c r="I24" s="253"/>
      <c r="J24" s="253"/>
      <c r="K24" s="4"/>
      <c r="L24" s="4"/>
      <c r="M24" s="4"/>
      <c r="N24" s="4"/>
    </row>
    <row r="25" spans="2:16" ht="35.15" customHeight="1" x14ac:dyDescent="0.3">
      <c r="B25" s="4"/>
      <c r="C25" s="29" t="s">
        <v>25</v>
      </c>
      <c r="D25" s="252" t="s">
        <v>68</v>
      </c>
      <c r="E25" s="252"/>
      <c r="F25" s="252"/>
      <c r="G25" s="252"/>
      <c r="H25" s="252"/>
      <c r="I25" s="252"/>
      <c r="J25" s="252"/>
      <c r="K25" s="4"/>
      <c r="L25" s="4"/>
      <c r="M25" s="4"/>
      <c r="N25" s="4"/>
    </row>
    <row r="26" spans="2:16" ht="35.15" customHeight="1" x14ac:dyDescent="0.3">
      <c r="B26" s="7"/>
      <c r="C26" s="29" t="s">
        <v>26</v>
      </c>
      <c r="D26" s="255" t="s">
        <v>69</v>
      </c>
      <c r="E26" s="255"/>
      <c r="F26" s="255"/>
      <c r="G26" s="255"/>
      <c r="H26" s="255"/>
      <c r="I26" s="255"/>
      <c r="J26" s="255"/>
      <c r="K26" s="7"/>
      <c r="L26" s="7"/>
      <c r="M26" s="7"/>
      <c r="N26" s="7"/>
    </row>
    <row r="27" spans="2:16" ht="35.15" customHeight="1" x14ac:dyDescent="0.3">
      <c r="B27" s="7"/>
      <c r="C27" s="30" t="s">
        <v>27</v>
      </c>
      <c r="D27" s="255" t="s">
        <v>70</v>
      </c>
      <c r="E27" s="255"/>
      <c r="F27" s="255"/>
      <c r="G27" s="255"/>
      <c r="H27" s="255"/>
      <c r="I27" s="255"/>
      <c r="J27" s="255"/>
      <c r="K27" s="7"/>
      <c r="L27" s="7"/>
      <c r="M27" s="7"/>
      <c r="N27" s="7"/>
      <c r="O27" s="15"/>
      <c r="P27" s="15"/>
    </row>
    <row r="28" spans="2:16" ht="35.15" customHeight="1" x14ac:dyDescent="0.3">
      <c r="B28" s="7"/>
      <c r="C28" s="146" t="s">
        <v>73</v>
      </c>
      <c r="D28" s="255" t="s">
        <v>74</v>
      </c>
      <c r="E28" s="255"/>
      <c r="F28" s="255"/>
      <c r="G28" s="255"/>
      <c r="H28" s="255"/>
      <c r="I28" s="255"/>
      <c r="J28" s="255"/>
      <c r="K28" s="7"/>
      <c r="L28" s="7"/>
      <c r="M28" s="7"/>
      <c r="N28" s="7"/>
      <c r="O28" s="131"/>
      <c r="P28" s="131"/>
    </row>
    <row r="29" spans="2:16" ht="35.15" customHeight="1" x14ac:dyDescent="0.3">
      <c r="B29" s="7"/>
      <c r="C29" s="145" t="s">
        <v>72</v>
      </c>
      <c r="D29" s="260" t="s">
        <v>75</v>
      </c>
      <c r="E29" s="260"/>
      <c r="F29" s="260"/>
      <c r="G29" s="260"/>
      <c r="H29" s="260"/>
      <c r="I29" s="260"/>
      <c r="J29" s="260"/>
      <c r="K29" s="7"/>
      <c r="L29" s="7"/>
      <c r="M29" s="7"/>
      <c r="N29" s="7"/>
      <c r="O29" s="131"/>
      <c r="P29" s="131"/>
    </row>
    <row r="30" spans="2:16" x14ac:dyDescent="0.3">
      <c r="B30" s="7"/>
      <c r="C30" s="28"/>
      <c r="D30" s="26"/>
      <c r="E30" s="27"/>
      <c r="F30" s="27"/>
      <c r="G30" s="27"/>
      <c r="H30" s="27"/>
      <c r="I30" s="27"/>
      <c r="J30" s="27"/>
      <c r="K30" s="7"/>
      <c r="L30" s="7"/>
      <c r="M30" s="7"/>
      <c r="N30" s="7"/>
      <c r="O30" s="15"/>
      <c r="P30" s="15"/>
    </row>
    <row r="31" spans="2:16" ht="41.25" customHeight="1" x14ac:dyDescent="0.3">
      <c r="B31" s="258" t="s">
        <v>14</v>
      </c>
      <c r="C31" s="258"/>
      <c r="D31" s="258"/>
      <c r="E31" s="258"/>
      <c r="F31" s="258"/>
      <c r="G31" s="258"/>
      <c r="H31" s="258"/>
      <c r="I31" s="258"/>
      <c r="J31" s="258"/>
      <c r="K31" s="258"/>
      <c r="L31" s="258"/>
      <c r="M31" s="258"/>
      <c r="N31" s="258"/>
      <c r="O31" s="14"/>
      <c r="P31" s="14"/>
    </row>
    <row r="32" spans="2:16" x14ac:dyDescent="0.3">
      <c r="B32" s="27"/>
      <c r="C32" s="33"/>
      <c r="D32" s="33"/>
      <c r="E32" s="33"/>
      <c r="F32" s="33"/>
      <c r="G32" s="33"/>
      <c r="H32" s="33"/>
      <c r="I32" s="33"/>
      <c r="J32" s="33"/>
      <c r="K32" s="33"/>
      <c r="L32" s="33"/>
      <c r="M32" s="33"/>
      <c r="N32" s="33"/>
      <c r="O32" s="35"/>
      <c r="P32" s="14"/>
    </row>
    <row r="33" spans="2:16" ht="15" customHeight="1" x14ac:dyDescent="0.3">
      <c r="B33" s="259" t="s">
        <v>28</v>
      </c>
      <c r="C33" s="259"/>
      <c r="D33" s="259"/>
      <c r="E33" s="259"/>
      <c r="F33" s="259"/>
      <c r="G33" s="259"/>
      <c r="H33" s="259"/>
      <c r="I33" s="259"/>
      <c r="J33" s="259"/>
      <c r="K33" s="259"/>
      <c r="L33" s="259"/>
      <c r="M33" s="259"/>
      <c r="N33" s="259"/>
      <c r="O33" s="14"/>
      <c r="P33" s="14"/>
    </row>
    <row r="34" spans="2:16" ht="7" customHeight="1" x14ac:dyDescent="0.3">
      <c r="B34" s="36"/>
      <c r="C34" s="36"/>
      <c r="D34" s="36"/>
      <c r="E34" s="36"/>
      <c r="F34" s="36"/>
      <c r="G34" s="36"/>
      <c r="H34" s="36"/>
      <c r="I34" s="36"/>
      <c r="J34" s="36"/>
      <c r="K34" s="36"/>
      <c r="L34" s="36"/>
      <c r="M34" s="36"/>
      <c r="N34" s="36"/>
      <c r="O34" s="14"/>
      <c r="P34" s="14"/>
    </row>
    <row r="35" spans="2:16" ht="15" thickBot="1" x14ac:dyDescent="0.4">
      <c r="B35" s="27"/>
      <c r="C35" s="37" t="s">
        <v>4</v>
      </c>
      <c r="D35" s="38" t="s">
        <v>2</v>
      </c>
      <c r="E35" s="256" t="s">
        <v>13</v>
      </c>
      <c r="F35" s="257"/>
      <c r="G35" s="257"/>
      <c r="H35" s="257"/>
      <c r="I35" s="257"/>
      <c r="J35" s="257"/>
      <c r="K35" s="34"/>
      <c r="L35" s="34"/>
      <c r="M35" s="27"/>
      <c r="N35" s="27"/>
      <c r="O35" s="14"/>
      <c r="P35" s="14"/>
    </row>
    <row r="36" spans="2:16" ht="36.75" customHeight="1" x14ac:dyDescent="0.3">
      <c r="B36" s="27"/>
      <c r="C36" s="41" t="s">
        <v>43</v>
      </c>
      <c r="D36" s="42" t="s">
        <v>29</v>
      </c>
      <c r="E36" s="254" t="s">
        <v>1110</v>
      </c>
      <c r="F36" s="254"/>
      <c r="G36" s="254"/>
      <c r="H36" s="254"/>
      <c r="I36" s="254"/>
      <c r="J36" s="254"/>
      <c r="K36" s="34"/>
      <c r="L36" s="34"/>
      <c r="M36" s="27"/>
      <c r="N36" s="27"/>
      <c r="O36" s="14"/>
      <c r="P36" s="14"/>
    </row>
    <row r="37" spans="2:16" ht="25" customHeight="1" x14ac:dyDescent="0.3">
      <c r="B37" s="27"/>
      <c r="C37" s="30" t="s">
        <v>8</v>
      </c>
      <c r="D37" s="45" t="s">
        <v>9</v>
      </c>
      <c r="E37" s="46" t="s">
        <v>15</v>
      </c>
      <c r="F37" s="46"/>
      <c r="G37" s="46"/>
      <c r="H37" s="46"/>
      <c r="I37" s="46"/>
      <c r="J37" s="46"/>
      <c r="K37" s="34"/>
      <c r="L37" s="34"/>
      <c r="M37" s="27"/>
      <c r="N37" s="27"/>
      <c r="O37" s="14"/>
      <c r="P37" s="14"/>
    </row>
    <row r="38" spans="2:16" ht="25" customHeight="1" x14ac:dyDescent="0.3">
      <c r="B38" s="27"/>
      <c r="C38" s="30" t="s">
        <v>7</v>
      </c>
      <c r="D38" s="45" t="s">
        <v>10</v>
      </c>
      <c r="E38" s="46" t="s">
        <v>71</v>
      </c>
      <c r="F38" s="46"/>
      <c r="G38" s="46"/>
      <c r="H38" s="46"/>
      <c r="I38" s="46"/>
      <c r="J38" s="46"/>
      <c r="K38" s="34"/>
      <c r="L38" s="34"/>
      <c r="M38" s="27"/>
      <c r="N38" s="27"/>
      <c r="O38" s="14"/>
      <c r="P38" s="14"/>
    </row>
    <row r="39" spans="2:16" ht="25" customHeight="1" x14ac:dyDescent="0.3">
      <c r="B39" s="27"/>
      <c r="C39" s="30" t="s">
        <v>6</v>
      </c>
      <c r="D39" s="43" t="s">
        <v>11</v>
      </c>
      <c r="E39" s="44" t="s">
        <v>16</v>
      </c>
      <c r="F39" s="44"/>
      <c r="G39" s="44"/>
      <c r="H39" s="44"/>
      <c r="I39" s="44"/>
      <c r="J39" s="44"/>
      <c r="K39" s="34"/>
      <c r="L39" s="34"/>
      <c r="M39" s="27"/>
      <c r="N39" s="27"/>
      <c r="O39" s="14"/>
      <c r="P39" s="14"/>
    </row>
    <row r="40" spans="2:16" ht="25" customHeight="1" x14ac:dyDescent="0.3">
      <c r="B40" s="27"/>
      <c r="C40" s="24" t="s">
        <v>5</v>
      </c>
      <c r="D40" s="39" t="s">
        <v>12</v>
      </c>
      <c r="E40" s="40" t="s">
        <v>17</v>
      </c>
      <c r="F40" s="40"/>
      <c r="G40" s="40"/>
      <c r="H40" s="40"/>
      <c r="I40" s="40"/>
      <c r="J40" s="40"/>
      <c r="K40" s="27"/>
      <c r="L40" s="27"/>
      <c r="M40" s="27"/>
      <c r="N40" s="27"/>
      <c r="O40" s="14"/>
      <c r="P40" s="14"/>
    </row>
    <row r="41" spans="2:16" x14ac:dyDescent="0.3">
      <c r="B41" s="27"/>
      <c r="C41" s="27"/>
      <c r="D41" s="27"/>
      <c r="E41" s="27"/>
      <c r="F41" s="27"/>
      <c r="G41" s="27"/>
      <c r="H41" s="27"/>
      <c r="I41" s="27"/>
      <c r="J41" s="27"/>
      <c r="K41" s="27"/>
      <c r="L41" s="27"/>
      <c r="M41" s="27"/>
      <c r="N41" s="27"/>
      <c r="O41" s="14"/>
      <c r="P41" s="14"/>
    </row>
    <row r="42" spans="2:16" x14ac:dyDescent="0.3">
      <c r="B42" s="27"/>
      <c r="C42" s="228" t="s">
        <v>1124</v>
      </c>
      <c r="D42" s="27"/>
      <c r="E42" s="27"/>
      <c r="F42" s="27"/>
      <c r="G42" s="27"/>
      <c r="H42" s="27"/>
      <c r="I42" s="27"/>
      <c r="J42" s="27"/>
      <c r="K42" s="27"/>
      <c r="L42" s="27"/>
      <c r="M42" s="27"/>
      <c r="N42" s="27"/>
      <c r="O42" s="14"/>
      <c r="P42" s="14"/>
    </row>
    <row r="43" spans="2:16" x14ac:dyDescent="0.3">
      <c r="B43" s="27"/>
      <c r="C43" s="27" t="s">
        <v>1125</v>
      </c>
      <c r="D43" s="27"/>
      <c r="E43" s="27"/>
      <c r="F43" s="27"/>
      <c r="G43" s="27"/>
      <c r="H43" s="27"/>
      <c r="I43" s="27"/>
      <c r="J43" s="27"/>
      <c r="K43" s="27"/>
      <c r="L43" s="27"/>
      <c r="M43" s="27"/>
      <c r="N43" s="27"/>
      <c r="O43" s="14"/>
      <c r="P43" s="14"/>
    </row>
    <row r="44" spans="2:16" x14ac:dyDescent="0.3">
      <c r="B44" s="27"/>
      <c r="C44" s="243" t="s">
        <v>1126</v>
      </c>
      <c r="D44" s="243"/>
      <c r="E44" s="243"/>
      <c r="F44" s="243"/>
      <c r="G44" s="243"/>
      <c r="H44" s="243"/>
      <c r="I44" s="243"/>
      <c r="J44" s="243"/>
      <c r="K44" s="243"/>
      <c r="L44" s="243"/>
      <c r="M44" s="243"/>
      <c r="N44" s="27"/>
      <c r="O44" s="14"/>
      <c r="P44" s="14"/>
    </row>
    <row r="45" spans="2:16" x14ac:dyDescent="0.3">
      <c r="B45" s="27"/>
      <c r="C45" s="243"/>
      <c r="D45" s="243"/>
      <c r="E45" s="243"/>
      <c r="F45" s="243"/>
      <c r="G45" s="243"/>
      <c r="H45" s="243"/>
      <c r="I45" s="243"/>
      <c r="J45" s="243"/>
      <c r="K45" s="243"/>
      <c r="L45" s="243"/>
      <c r="M45" s="243"/>
      <c r="N45" s="27"/>
      <c r="O45" s="14"/>
      <c r="P45" s="14"/>
    </row>
    <row r="46" spans="2:16" x14ac:dyDescent="0.3">
      <c r="B46" s="27"/>
      <c r="C46" s="243"/>
      <c r="D46" s="243"/>
      <c r="E46" s="243"/>
      <c r="F46" s="243"/>
      <c r="G46" s="243"/>
      <c r="H46" s="243"/>
      <c r="I46" s="243"/>
      <c r="J46" s="243"/>
      <c r="K46" s="243"/>
      <c r="L46" s="243"/>
      <c r="M46" s="243"/>
      <c r="N46" s="27"/>
      <c r="O46" s="14"/>
      <c r="P46" s="14"/>
    </row>
    <row r="47" spans="2:16" x14ac:dyDescent="0.3">
      <c r="B47" s="27"/>
      <c r="C47" s="243"/>
      <c r="D47" s="243"/>
      <c r="E47" s="243"/>
      <c r="F47" s="243"/>
      <c r="G47" s="243"/>
      <c r="H47" s="243"/>
      <c r="I47" s="243"/>
      <c r="J47" s="243"/>
      <c r="K47" s="243"/>
      <c r="L47" s="243"/>
      <c r="M47" s="243"/>
      <c r="N47" s="27"/>
      <c r="O47" s="14"/>
      <c r="P47" s="14"/>
    </row>
    <row r="48" spans="2:16" x14ac:dyDescent="0.3">
      <c r="B48" s="27"/>
      <c r="C48" s="27"/>
      <c r="D48" s="27"/>
      <c r="E48" s="27"/>
      <c r="F48" s="27"/>
      <c r="G48" s="27"/>
      <c r="H48" s="27"/>
      <c r="I48" s="27"/>
      <c r="J48" s="27"/>
      <c r="K48" s="27"/>
      <c r="L48" s="27"/>
      <c r="M48" s="27"/>
      <c r="N48" s="27"/>
      <c r="O48" s="14"/>
      <c r="P48" s="14"/>
    </row>
  </sheetData>
  <mergeCells count="21">
    <mergeCell ref="E35:J35"/>
    <mergeCell ref="B31:N31"/>
    <mergeCell ref="B33:N33"/>
    <mergeCell ref="D28:J28"/>
    <mergeCell ref="D29:J29"/>
    <mergeCell ref="C44:M47"/>
    <mergeCell ref="B9:N9"/>
    <mergeCell ref="B10:N10"/>
    <mergeCell ref="B11:K11"/>
    <mergeCell ref="D14:J14"/>
    <mergeCell ref="B20:N20"/>
    <mergeCell ref="D15:J15"/>
    <mergeCell ref="D16:J16"/>
    <mergeCell ref="D17:J17"/>
    <mergeCell ref="D18:J18"/>
    <mergeCell ref="B22:N22"/>
    <mergeCell ref="D25:J25"/>
    <mergeCell ref="D24:J24"/>
    <mergeCell ref="E36:J36"/>
    <mergeCell ref="D26:J26"/>
    <mergeCell ref="D27:J27"/>
  </mergeCells>
  <pageMargins left="0.7" right="0.7" top="0.78740157499999996" bottom="0.78740157499999996" header="0.3" footer="0.3"/>
  <pageSetup paperSize="9" orientation="portrait" horizontalDpi="4294967293"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222BD-6079-402C-911B-27D24DA6F93D}">
  <dimension ref="B6:P47"/>
  <sheetViews>
    <sheetView showGridLines="0" topLeftCell="A34" zoomScaleNormal="100" workbookViewId="0"/>
  </sheetViews>
  <sheetFormatPr baseColWidth="10" defaultColWidth="11.453125" defaultRowHeight="14" x14ac:dyDescent="0.3"/>
  <cols>
    <col min="1" max="1" width="3.26953125" style="1" customWidth="1"/>
    <col min="2" max="2" width="2.54296875" style="1" customWidth="1"/>
    <col min="3" max="3" width="21.81640625" style="1" customWidth="1"/>
    <col min="4" max="4" width="19.26953125" style="1" customWidth="1"/>
    <col min="5" max="5" width="18.7265625" style="1" bestFit="1" customWidth="1"/>
    <col min="6" max="6" width="22.26953125" style="1" customWidth="1"/>
    <col min="7" max="7" width="19.1796875" style="1" customWidth="1"/>
    <col min="8" max="12" width="11.453125" style="1"/>
    <col min="13" max="13" width="15.1796875" style="1" customWidth="1"/>
    <col min="14" max="14" width="3.453125" style="1" customWidth="1"/>
    <col min="15" max="16384" width="11.453125" style="1"/>
  </cols>
  <sheetData>
    <row r="6" spans="2:14" ht="18" x14ac:dyDescent="0.3">
      <c r="B6" s="5" t="s">
        <v>47</v>
      </c>
    </row>
    <row r="7" spans="2:14" ht="3.65" customHeight="1" x14ac:dyDescent="0.3"/>
    <row r="8" spans="2:14" ht="3" customHeight="1" x14ac:dyDescent="0.3">
      <c r="B8" s="6"/>
      <c r="C8" s="6"/>
      <c r="D8" s="6"/>
      <c r="E8" s="6"/>
      <c r="F8" s="6"/>
      <c r="G8" s="6"/>
      <c r="H8" s="6"/>
      <c r="I8" s="6"/>
      <c r="J8" s="6"/>
      <c r="K8" s="6"/>
      <c r="L8" s="6"/>
      <c r="M8" s="6"/>
      <c r="N8" s="6"/>
    </row>
    <row r="9" spans="2:14" x14ac:dyDescent="0.3">
      <c r="B9" s="58"/>
      <c r="C9" s="58"/>
      <c r="D9" s="58"/>
      <c r="E9" s="58"/>
      <c r="F9" s="58"/>
      <c r="G9" s="58"/>
      <c r="H9" s="58"/>
      <c r="I9" s="58"/>
      <c r="J9" s="58"/>
      <c r="K9" s="58"/>
      <c r="L9" s="58"/>
      <c r="M9" s="58"/>
      <c r="N9" s="58"/>
    </row>
    <row r="10" spans="2:14" x14ac:dyDescent="0.3">
      <c r="B10" s="58"/>
      <c r="C10" s="72" t="s">
        <v>53</v>
      </c>
      <c r="D10" s="58"/>
      <c r="E10" s="58"/>
      <c r="F10" s="58"/>
      <c r="G10" s="58"/>
      <c r="H10" s="58"/>
      <c r="I10" s="58"/>
      <c r="J10" s="58"/>
      <c r="K10" s="58"/>
      <c r="L10" s="58"/>
      <c r="M10" s="58"/>
      <c r="N10" s="58"/>
    </row>
    <row r="11" spans="2:14" ht="3" customHeight="1" x14ac:dyDescent="0.3">
      <c r="B11" s="70"/>
      <c r="C11" s="34"/>
      <c r="D11" s="70"/>
      <c r="E11" s="70"/>
      <c r="F11" s="70"/>
      <c r="G11" s="70"/>
      <c r="H11" s="70"/>
      <c r="I11" s="70"/>
      <c r="J11" s="70"/>
      <c r="K11" s="70"/>
      <c r="L11" s="70"/>
      <c r="M11" s="70"/>
      <c r="N11" s="70"/>
    </row>
    <row r="12" spans="2:14" ht="78" customHeight="1" x14ac:dyDescent="0.3">
      <c r="B12" s="71"/>
      <c r="C12" s="261" t="s">
        <v>184</v>
      </c>
      <c r="D12" s="261"/>
      <c r="E12" s="261"/>
      <c r="F12" s="261"/>
      <c r="G12" s="261"/>
      <c r="H12" s="261"/>
      <c r="I12" s="261"/>
      <c r="J12" s="261"/>
      <c r="K12" s="261"/>
      <c r="L12" s="261"/>
      <c r="M12" s="261"/>
      <c r="N12" s="58"/>
    </row>
    <row r="13" spans="2:14" ht="7" customHeight="1" x14ac:dyDescent="0.3">
      <c r="B13" s="199"/>
      <c r="C13" s="59"/>
      <c r="D13" s="60"/>
      <c r="E13" s="60"/>
      <c r="F13" s="60"/>
      <c r="G13" s="60"/>
      <c r="H13" s="60"/>
      <c r="I13" s="60"/>
      <c r="J13" s="60"/>
      <c r="K13" s="27"/>
      <c r="L13" s="27"/>
      <c r="M13" s="199"/>
      <c r="N13" s="199"/>
    </row>
    <row r="14" spans="2:14" ht="38.25" customHeight="1" x14ac:dyDescent="0.3">
      <c r="B14" s="199"/>
      <c r="C14" s="73"/>
      <c r="D14" s="73"/>
      <c r="E14" s="73"/>
      <c r="F14" s="73"/>
      <c r="G14" s="73"/>
      <c r="H14" s="73"/>
      <c r="I14" s="73"/>
      <c r="J14" s="73"/>
      <c r="K14" s="73"/>
      <c r="L14" s="73"/>
      <c r="M14" s="73"/>
      <c r="N14" s="199"/>
    </row>
    <row r="15" spans="2:14" ht="35.25" customHeight="1" x14ac:dyDescent="0.3">
      <c r="B15" s="27"/>
      <c r="C15" s="262" t="s">
        <v>185</v>
      </c>
      <c r="D15" s="262"/>
      <c r="E15" s="262"/>
      <c r="F15" s="262"/>
      <c r="G15" s="262"/>
      <c r="H15" s="262"/>
      <c r="I15" s="262"/>
      <c r="J15" s="262"/>
      <c r="K15" s="262"/>
      <c r="L15" s="262"/>
      <c r="M15" s="262"/>
      <c r="N15" s="27"/>
    </row>
    <row r="16" spans="2:14" ht="18.75" customHeight="1" x14ac:dyDescent="0.3">
      <c r="B16" s="27"/>
      <c r="C16" s="57" t="s">
        <v>51</v>
      </c>
      <c r="D16" s="26"/>
      <c r="E16" s="27"/>
      <c r="F16" s="27"/>
      <c r="G16" s="27"/>
      <c r="H16" s="27"/>
      <c r="I16" s="27"/>
      <c r="J16" s="27"/>
      <c r="K16" s="27"/>
      <c r="L16" s="27"/>
      <c r="M16" s="27"/>
      <c r="N16" s="27"/>
    </row>
    <row r="17" spans="2:16" ht="3" customHeight="1" x14ac:dyDescent="0.3">
      <c r="B17" s="27"/>
      <c r="C17" s="34"/>
      <c r="D17" s="26"/>
      <c r="E17" s="27"/>
      <c r="F17" s="27"/>
      <c r="G17" s="27"/>
      <c r="H17" s="27"/>
      <c r="I17" s="27"/>
      <c r="J17" s="27"/>
      <c r="K17" s="27"/>
      <c r="L17" s="27"/>
      <c r="M17" s="27"/>
      <c r="N17" s="27"/>
    </row>
    <row r="18" spans="2:16" ht="30.75" customHeight="1" x14ac:dyDescent="0.3">
      <c r="B18" s="27"/>
      <c r="C18" s="263" t="s">
        <v>1096</v>
      </c>
      <c r="D18" s="263"/>
      <c r="E18" s="263"/>
      <c r="F18" s="263"/>
      <c r="G18" s="263"/>
      <c r="H18" s="263"/>
      <c r="I18" s="263"/>
      <c r="J18" s="263"/>
      <c r="K18" s="263"/>
      <c r="L18" s="263"/>
      <c r="M18" s="263"/>
      <c r="N18" s="27"/>
    </row>
    <row r="19" spans="2:16" x14ac:dyDescent="0.3">
      <c r="B19" s="27"/>
      <c r="C19" s="34"/>
      <c r="D19" s="27"/>
      <c r="E19" s="27"/>
      <c r="F19" s="27"/>
      <c r="G19" s="27"/>
      <c r="H19" s="27"/>
      <c r="I19" s="27"/>
      <c r="J19" s="27"/>
      <c r="K19" s="27"/>
      <c r="L19" s="27"/>
      <c r="M19" s="27"/>
      <c r="N19" s="27"/>
    </row>
    <row r="20" spans="2:16" x14ac:dyDescent="0.3">
      <c r="B20" s="69"/>
      <c r="C20" s="34"/>
      <c r="D20" s="34"/>
      <c r="E20" s="34"/>
      <c r="F20" s="34"/>
      <c r="G20" s="34"/>
      <c r="H20" s="34"/>
      <c r="I20" s="34"/>
      <c r="J20" s="34"/>
      <c r="K20" s="34"/>
      <c r="L20" s="34"/>
      <c r="M20" s="34"/>
      <c r="N20" s="69"/>
    </row>
    <row r="21" spans="2:16" ht="3" customHeight="1" x14ac:dyDescent="0.3">
      <c r="B21" s="61"/>
      <c r="C21" s="34"/>
      <c r="D21" s="34"/>
      <c r="E21" s="34"/>
      <c r="F21" s="34"/>
      <c r="G21" s="34"/>
      <c r="H21" s="34"/>
      <c r="I21" s="34"/>
      <c r="J21" s="34"/>
      <c r="K21" s="34"/>
      <c r="L21" s="34"/>
      <c r="M21" s="34"/>
      <c r="N21" s="27"/>
    </row>
    <row r="22" spans="2:16" ht="15.75" customHeight="1" x14ac:dyDescent="0.3">
      <c r="B22" s="67"/>
      <c r="C22" s="34"/>
      <c r="D22" s="34"/>
      <c r="E22" s="34"/>
      <c r="F22" s="34"/>
      <c r="G22" s="34"/>
      <c r="H22" s="34"/>
      <c r="I22" s="34"/>
      <c r="J22" s="34"/>
      <c r="K22" s="34"/>
      <c r="L22" s="34"/>
      <c r="M22" s="34"/>
      <c r="N22" s="67"/>
    </row>
    <row r="23" spans="2:16" x14ac:dyDescent="0.3">
      <c r="B23" s="62"/>
      <c r="C23" s="34"/>
      <c r="D23" s="34"/>
      <c r="E23" s="34"/>
      <c r="F23" s="34"/>
      <c r="G23" s="34"/>
      <c r="H23" s="34"/>
      <c r="I23" s="34"/>
      <c r="J23" s="34"/>
      <c r="K23" s="34"/>
      <c r="L23" s="34"/>
      <c r="M23" s="34"/>
      <c r="N23" s="27"/>
    </row>
    <row r="24" spans="2:16" x14ac:dyDescent="0.3">
      <c r="B24" s="62"/>
      <c r="C24" s="34"/>
      <c r="D24" s="34"/>
      <c r="E24" s="34"/>
      <c r="F24" s="34"/>
      <c r="G24" s="34"/>
      <c r="H24" s="34"/>
      <c r="I24" s="34"/>
      <c r="J24" s="34"/>
      <c r="K24" s="34"/>
      <c r="L24" s="34"/>
      <c r="M24" s="34"/>
      <c r="N24" s="27"/>
    </row>
    <row r="25" spans="2:16" x14ac:dyDescent="0.3">
      <c r="B25" s="62"/>
      <c r="C25" s="34"/>
      <c r="D25" s="34"/>
      <c r="E25" s="34"/>
      <c r="F25" s="34"/>
      <c r="G25" s="34"/>
      <c r="H25" s="34"/>
      <c r="I25" s="34"/>
      <c r="J25" s="34"/>
      <c r="K25" s="34"/>
      <c r="L25" s="34"/>
      <c r="M25" s="34"/>
      <c r="N25" s="27"/>
    </row>
    <row r="26" spans="2:16" ht="3" customHeight="1" x14ac:dyDescent="0.3">
      <c r="B26" s="62"/>
      <c r="C26" s="34"/>
      <c r="D26" s="34"/>
      <c r="E26" s="34"/>
      <c r="F26" s="34"/>
      <c r="G26" s="34"/>
      <c r="H26" s="34"/>
      <c r="I26" s="34"/>
      <c r="J26" s="34"/>
      <c r="K26" s="34"/>
      <c r="L26" s="34"/>
      <c r="M26" s="34"/>
      <c r="N26" s="27"/>
    </row>
    <row r="27" spans="2:16" ht="42.75" customHeight="1" x14ac:dyDescent="0.3">
      <c r="B27" s="62"/>
      <c r="C27" s="34"/>
      <c r="D27" s="34"/>
      <c r="E27" s="34"/>
      <c r="F27" s="34"/>
      <c r="G27" s="34"/>
      <c r="H27" s="34"/>
      <c r="I27" s="34"/>
      <c r="J27" s="34"/>
      <c r="K27" s="34"/>
      <c r="L27" s="34"/>
      <c r="M27" s="34"/>
      <c r="N27" s="27"/>
    </row>
    <row r="28" spans="2:16" x14ac:dyDescent="0.3">
      <c r="B28" s="62"/>
      <c r="C28" s="34"/>
      <c r="D28" s="67"/>
      <c r="E28" s="67"/>
      <c r="F28" s="67"/>
      <c r="G28" s="67"/>
      <c r="H28" s="67"/>
      <c r="I28" s="67"/>
      <c r="J28" s="67"/>
      <c r="K28" s="27"/>
      <c r="L28" s="27"/>
      <c r="M28" s="27"/>
      <c r="N28" s="27"/>
    </row>
    <row r="29" spans="2:16" ht="24.75" customHeight="1" x14ac:dyDescent="0.3">
      <c r="B29" s="27"/>
      <c r="C29" s="34"/>
      <c r="D29" s="68"/>
      <c r="E29" s="68"/>
      <c r="F29" s="68"/>
      <c r="G29" s="68"/>
      <c r="H29" s="68"/>
      <c r="I29" s="68"/>
      <c r="J29" s="68"/>
      <c r="K29" s="27"/>
      <c r="L29" s="27"/>
      <c r="M29" s="27"/>
      <c r="N29" s="27"/>
    </row>
    <row r="30" spans="2:16" ht="25" customHeight="1" x14ac:dyDescent="0.3">
      <c r="B30" s="27"/>
      <c r="C30" s="34"/>
      <c r="D30" s="69"/>
      <c r="E30" s="69"/>
      <c r="F30" s="69"/>
      <c r="G30" s="69"/>
      <c r="H30" s="69"/>
      <c r="I30" s="69"/>
      <c r="J30" s="69"/>
      <c r="K30" s="69"/>
      <c r="L30" s="69"/>
      <c r="M30" s="69"/>
      <c r="N30" s="27"/>
    </row>
    <row r="31" spans="2:16" ht="25" customHeight="1" x14ac:dyDescent="0.3">
      <c r="B31" s="27"/>
      <c r="C31" s="34"/>
      <c r="D31" s="27"/>
      <c r="E31" s="27"/>
      <c r="F31" s="27"/>
      <c r="G31" s="27"/>
      <c r="H31" s="27"/>
      <c r="I31" s="27"/>
      <c r="J31" s="27"/>
      <c r="K31" s="27"/>
      <c r="L31" s="27"/>
      <c r="M31" s="27"/>
      <c r="N31" s="27"/>
      <c r="O31" s="201"/>
      <c r="P31" s="201"/>
    </row>
    <row r="32" spans="2:16" x14ac:dyDescent="0.3">
      <c r="B32" s="27"/>
      <c r="C32" s="34"/>
      <c r="D32" s="67"/>
      <c r="E32" s="67"/>
      <c r="F32" s="67"/>
      <c r="G32" s="67"/>
      <c r="H32" s="67"/>
      <c r="I32" s="67"/>
      <c r="J32" s="67"/>
      <c r="K32" s="67"/>
      <c r="L32" s="67"/>
      <c r="M32" s="67"/>
      <c r="N32" s="27"/>
      <c r="O32" s="201"/>
      <c r="P32" s="201"/>
    </row>
    <row r="33" spans="2:16" ht="41.25" customHeight="1" x14ac:dyDescent="0.3">
      <c r="B33" s="58"/>
      <c r="C33" s="34"/>
      <c r="D33" s="27"/>
      <c r="E33" s="27"/>
      <c r="F33" s="27"/>
      <c r="G33" s="27"/>
      <c r="H33" s="27"/>
      <c r="I33" s="27"/>
      <c r="J33" s="27"/>
      <c r="K33" s="27"/>
      <c r="L33" s="27"/>
      <c r="M33" s="27"/>
      <c r="N33" s="58"/>
      <c r="O33" s="14"/>
      <c r="P33" s="14"/>
    </row>
    <row r="34" spans="2:16" x14ac:dyDescent="0.3">
      <c r="B34" s="27"/>
      <c r="C34" s="34"/>
      <c r="D34" s="27"/>
      <c r="E34" s="27"/>
      <c r="F34" s="27"/>
      <c r="G34" s="27"/>
      <c r="H34" s="27"/>
      <c r="I34" s="27"/>
      <c r="J34" s="27"/>
      <c r="K34" s="27"/>
      <c r="L34" s="27"/>
      <c r="M34" s="27"/>
      <c r="N34" s="199"/>
      <c r="O34" s="35"/>
      <c r="P34" s="14"/>
    </row>
    <row r="35" spans="2:16" ht="15" customHeight="1" x14ac:dyDescent="0.3">
      <c r="B35" s="67"/>
      <c r="C35" s="34"/>
      <c r="D35" s="27"/>
      <c r="E35" s="27"/>
      <c r="F35" s="27"/>
      <c r="G35" s="27"/>
      <c r="H35" s="27"/>
      <c r="I35" s="27"/>
      <c r="J35" s="27"/>
      <c r="K35" s="27"/>
      <c r="L35" s="27"/>
      <c r="M35" s="27"/>
      <c r="N35" s="67"/>
      <c r="O35" s="14"/>
      <c r="P35" s="14"/>
    </row>
    <row r="36" spans="2:16" ht="7" customHeight="1" x14ac:dyDescent="0.3">
      <c r="B36" s="200"/>
      <c r="C36" s="34"/>
      <c r="D36" s="27"/>
      <c r="E36" s="27"/>
      <c r="F36" s="27"/>
      <c r="G36" s="27"/>
      <c r="H36" s="27"/>
      <c r="I36" s="27"/>
      <c r="J36" s="27"/>
      <c r="K36" s="27"/>
      <c r="L36" s="27"/>
      <c r="M36" s="27"/>
      <c r="N36" s="200"/>
      <c r="O36" s="14"/>
      <c r="P36" s="14"/>
    </row>
    <row r="37" spans="2:16" ht="14.25" customHeight="1" x14ac:dyDescent="0.3">
      <c r="B37" s="27"/>
      <c r="C37" s="28" t="s">
        <v>50</v>
      </c>
      <c r="D37" s="70"/>
      <c r="E37" s="70"/>
      <c r="F37" s="70"/>
      <c r="G37" s="70"/>
      <c r="H37" s="70"/>
      <c r="I37" s="70"/>
      <c r="J37" s="70"/>
      <c r="K37" s="70"/>
      <c r="L37" s="70"/>
      <c r="M37" s="70"/>
      <c r="N37" s="27"/>
      <c r="O37" s="14"/>
      <c r="P37" s="14"/>
    </row>
    <row r="38" spans="2:16" ht="3" customHeight="1" x14ac:dyDescent="0.3">
      <c r="B38" s="27"/>
      <c r="C38" s="28"/>
      <c r="D38" s="65"/>
      <c r="E38" s="66"/>
      <c r="F38" s="66"/>
      <c r="G38" s="66"/>
      <c r="H38" s="66"/>
      <c r="I38" s="66"/>
      <c r="J38" s="66"/>
      <c r="K38" s="27"/>
      <c r="L38" s="27"/>
      <c r="M38" s="27"/>
      <c r="N38" s="27"/>
      <c r="O38" s="14"/>
      <c r="P38" s="14"/>
    </row>
    <row r="39" spans="2:16" x14ac:dyDescent="0.3">
      <c r="B39" s="27"/>
      <c r="C39" s="60" t="s">
        <v>1097</v>
      </c>
      <c r="D39" s="63"/>
      <c r="E39" s="64"/>
      <c r="F39" s="64"/>
      <c r="G39" s="64"/>
      <c r="H39" s="64"/>
      <c r="I39" s="64"/>
      <c r="J39" s="64"/>
      <c r="K39" s="27"/>
      <c r="L39" s="27"/>
      <c r="M39" s="27"/>
      <c r="N39" s="27"/>
      <c r="O39" s="14"/>
      <c r="P39" s="14"/>
    </row>
    <row r="40" spans="2:16" x14ac:dyDescent="0.3">
      <c r="B40" s="27"/>
      <c r="C40" s="27" t="s">
        <v>1098</v>
      </c>
      <c r="D40" s="63"/>
      <c r="E40" s="64"/>
      <c r="F40" s="64"/>
      <c r="G40" s="64"/>
      <c r="H40" s="64"/>
      <c r="I40" s="64"/>
      <c r="J40" s="64"/>
      <c r="K40" s="27"/>
      <c r="L40" s="27"/>
      <c r="M40" s="27"/>
      <c r="N40" s="27"/>
      <c r="O40" s="14"/>
      <c r="P40" s="14"/>
    </row>
    <row r="41" spans="2:16" ht="9.75" customHeight="1" x14ac:dyDescent="0.3">
      <c r="B41" s="27"/>
      <c r="C41" s="27"/>
      <c r="D41" s="63"/>
      <c r="E41" s="64"/>
      <c r="F41" s="64"/>
      <c r="G41" s="64"/>
      <c r="H41" s="64"/>
      <c r="I41" s="64"/>
      <c r="J41" s="64"/>
      <c r="K41" s="27"/>
      <c r="L41" s="27"/>
      <c r="M41" s="27"/>
      <c r="N41" s="27"/>
      <c r="O41" s="14"/>
      <c r="P41" s="14"/>
    </row>
    <row r="42" spans="2:16" x14ac:dyDescent="0.3">
      <c r="B42" s="27"/>
      <c r="C42" s="28" t="s">
        <v>52</v>
      </c>
      <c r="D42" s="63"/>
      <c r="E42" s="64"/>
      <c r="F42" s="64"/>
      <c r="G42" s="64"/>
      <c r="H42" s="64"/>
      <c r="I42" s="64"/>
      <c r="J42" s="64"/>
      <c r="K42" s="27"/>
      <c r="L42" s="27"/>
      <c r="M42" s="27"/>
      <c r="N42" s="27"/>
      <c r="O42" s="14"/>
      <c r="P42" s="14"/>
    </row>
    <row r="43" spans="2:16" ht="3" customHeight="1" x14ac:dyDescent="0.3">
      <c r="B43" s="27"/>
      <c r="C43" s="27"/>
      <c r="D43" s="27"/>
      <c r="E43" s="27"/>
      <c r="F43" s="27"/>
      <c r="G43" s="27"/>
      <c r="H43" s="27"/>
      <c r="I43" s="27"/>
      <c r="J43" s="27"/>
      <c r="K43" s="27"/>
      <c r="L43" s="27"/>
      <c r="M43" s="27"/>
      <c r="N43" s="27"/>
      <c r="O43" s="14"/>
      <c r="P43" s="14"/>
    </row>
    <row r="44" spans="2:16" ht="75" customHeight="1" x14ac:dyDescent="0.3">
      <c r="B44" s="34"/>
      <c r="C44" s="261" t="s">
        <v>1104</v>
      </c>
      <c r="D44" s="261"/>
      <c r="E44" s="261"/>
      <c r="F44" s="261"/>
      <c r="G44" s="261"/>
      <c r="H44" s="261"/>
      <c r="I44" s="261"/>
      <c r="J44" s="261"/>
      <c r="K44" s="261"/>
      <c r="L44" s="261"/>
      <c r="M44" s="261"/>
      <c r="N44" s="34"/>
      <c r="O44" s="201"/>
      <c r="P44" s="201"/>
    </row>
    <row r="45" spans="2:16" ht="11.25" customHeight="1" x14ac:dyDescent="0.3">
      <c r="B45" s="34"/>
      <c r="C45" s="34"/>
      <c r="D45" s="34"/>
      <c r="E45" s="34"/>
      <c r="F45" s="34"/>
      <c r="G45" s="34"/>
      <c r="H45" s="34"/>
      <c r="I45" s="34"/>
      <c r="J45" s="34"/>
      <c r="K45" s="34"/>
      <c r="L45" s="34"/>
      <c r="M45" s="34"/>
      <c r="N45" s="34"/>
      <c r="O45" s="201"/>
      <c r="P45" s="201"/>
    </row>
    <row r="46" spans="2:16" ht="6.75" customHeight="1" x14ac:dyDescent="0.3">
      <c r="B46" s="34"/>
      <c r="C46" s="34"/>
      <c r="D46" s="34"/>
      <c r="E46" s="34"/>
      <c r="F46" s="34"/>
      <c r="G46" s="34"/>
      <c r="H46" s="34"/>
      <c r="I46" s="34"/>
      <c r="J46" s="34"/>
      <c r="K46" s="34"/>
      <c r="L46" s="34"/>
      <c r="M46" s="34"/>
      <c r="N46" s="34"/>
      <c r="O46" s="201"/>
      <c r="P46" s="201"/>
    </row>
    <row r="47" spans="2:16" x14ac:dyDescent="0.3">
      <c r="O47" s="201"/>
      <c r="P47" s="201"/>
    </row>
  </sheetData>
  <mergeCells count="4">
    <mergeCell ref="C12:M12"/>
    <mergeCell ref="C15:M15"/>
    <mergeCell ref="C18:M18"/>
    <mergeCell ref="C44:M44"/>
  </mergeCells>
  <dataValidations count="1">
    <dataValidation type="list" allowBlank="1" showInputMessage="1" showErrorMessage="1" sqref="D29:J29" xr:uid="{2152E977-5E29-4AEB-AC15-92F101770ED0}">
      <formula1>"Ja,Nein"</formula1>
    </dataValidation>
  </dataValidations>
  <pageMargins left="0.7" right="0.7" top="0.78740157499999996" bottom="0.78740157499999996" header="0.3" footer="0.3"/>
  <pageSetup paperSize="9"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6:P52"/>
  <sheetViews>
    <sheetView showGridLines="0" topLeftCell="A40" zoomScale="85" zoomScaleNormal="85" workbookViewId="0"/>
  </sheetViews>
  <sheetFormatPr baseColWidth="10" defaultColWidth="11.453125" defaultRowHeight="14" x14ac:dyDescent="0.3"/>
  <cols>
    <col min="1" max="1" width="3.26953125" style="1" customWidth="1"/>
    <col min="2" max="2" width="2.54296875" style="1" customWidth="1"/>
    <col min="3" max="3" width="21.81640625" style="208" customWidth="1"/>
    <col min="4" max="4" width="19.26953125" style="1" customWidth="1"/>
    <col min="5" max="5" width="18.7265625" style="212" bestFit="1" customWidth="1"/>
    <col min="6" max="6" width="22.26953125" style="212" customWidth="1"/>
    <col min="7" max="7" width="19.1796875" style="212" customWidth="1"/>
    <col min="8" max="12" width="11.453125" style="212"/>
    <col min="13" max="13" width="15.1796875" style="212" customWidth="1"/>
    <col min="14" max="14" width="3.453125" style="1" customWidth="1"/>
    <col min="15" max="16384" width="11.453125" style="1"/>
  </cols>
  <sheetData>
    <row r="6" spans="2:14" ht="18" x14ac:dyDescent="0.3">
      <c r="B6" s="5" t="s">
        <v>884</v>
      </c>
    </row>
    <row r="7" spans="2:14" ht="3.65" customHeight="1" x14ac:dyDescent="0.3"/>
    <row r="8" spans="2:14" ht="3" customHeight="1" x14ac:dyDescent="0.3">
      <c r="B8" s="6"/>
      <c r="C8" s="209"/>
      <c r="D8" s="6"/>
      <c r="E8" s="213"/>
      <c r="F8" s="213"/>
      <c r="G8" s="213"/>
      <c r="H8" s="213"/>
      <c r="I8" s="213"/>
      <c r="J8" s="213"/>
      <c r="K8" s="213"/>
      <c r="L8" s="213"/>
      <c r="M8" s="213"/>
      <c r="N8" s="6"/>
    </row>
    <row r="9" spans="2:14" ht="14.25" customHeight="1" x14ac:dyDescent="0.3">
      <c r="B9" s="58"/>
      <c r="C9" s="69"/>
      <c r="D9" s="58"/>
      <c r="E9" s="211"/>
      <c r="F9" s="211"/>
      <c r="G9" s="211"/>
      <c r="H9" s="211"/>
      <c r="I9" s="211"/>
      <c r="J9" s="211"/>
      <c r="K9" s="211"/>
      <c r="L9" s="211"/>
      <c r="M9" s="211"/>
      <c r="N9" s="58"/>
    </row>
    <row r="10" spans="2:14" ht="14.25" customHeight="1" x14ac:dyDescent="0.3">
      <c r="B10" s="58"/>
      <c r="C10" s="269" t="s">
        <v>930</v>
      </c>
      <c r="D10" s="269"/>
      <c r="E10" s="269"/>
      <c r="F10" s="269"/>
      <c r="G10" s="269"/>
      <c r="H10" s="269"/>
      <c r="I10" s="211"/>
      <c r="J10" s="211"/>
      <c r="K10" s="211"/>
      <c r="L10" s="211"/>
      <c r="M10" s="211"/>
      <c r="N10" s="58"/>
    </row>
    <row r="11" spans="2:14" ht="14.25" customHeight="1" x14ac:dyDescent="0.3">
      <c r="B11" s="58"/>
      <c r="C11" s="269"/>
      <c r="D11" s="269"/>
      <c r="E11" s="269"/>
      <c r="F11" s="269"/>
      <c r="G11" s="269"/>
      <c r="H11" s="269"/>
      <c r="I11" s="211"/>
      <c r="J11" s="211"/>
      <c r="K11" s="211"/>
      <c r="L11" s="211"/>
      <c r="M11" s="211"/>
      <c r="N11" s="58"/>
    </row>
    <row r="12" spans="2:14" ht="14.25" customHeight="1" x14ac:dyDescent="0.3">
      <c r="B12" s="58"/>
      <c r="C12" s="69"/>
      <c r="D12" s="58"/>
      <c r="E12" s="211"/>
      <c r="F12" s="211"/>
      <c r="G12" s="211"/>
      <c r="H12" s="211"/>
      <c r="I12" s="211"/>
      <c r="J12" s="211"/>
      <c r="K12" s="211"/>
      <c r="L12" s="211"/>
      <c r="M12" s="211"/>
      <c r="N12" s="58"/>
    </row>
    <row r="13" spans="2:14" ht="14.25" customHeight="1" x14ac:dyDescent="0.3">
      <c r="B13" s="206"/>
      <c r="C13" s="268" t="s">
        <v>885</v>
      </c>
      <c r="D13" s="268"/>
      <c r="E13" s="268"/>
      <c r="F13" s="268"/>
      <c r="G13" s="268"/>
      <c r="H13" s="268"/>
      <c r="I13" s="268"/>
      <c r="J13" s="268"/>
      <c r="K13" s="268"/>
      <c r="L13" s="268"/>
      <c r="M13" s="268"/>
      <c r="N13" s="58"/>
    </row>
    <row r="14" spans="2:14" ht="42.75" customHeight="1" x14ac:dyDescent="0.3">
      <c r="B14" s="70"/>
      <c r="C14" s="265" t="s">
        <v>1095</v>
      </c>
      <c r="D14" s="265"/>
      <c r="E14" s="267" t="s">
        <v>1045</v>
      </c>
      <c r="F14" s="267"/>
      <c r="G14" s="267"/>
      <c r="H14" s="267"/>
      <c r="I14" s="267"/>
      <c r="J14" s="267"/>
      <c r="K14" s="267"/>
      <c r="L14" s="267"/>
      <c r="M14" s="267"/>
      <c r="N14" s="70"/>
    </row>
    <row r="15" spans="2:14" ht="14.25" customHeight="1" x14ac:dyDescent="0.3">
      <c r="B15" s="71"/>
      <c r="C15" s="264" t="s">
        <v>931</v>
      </c>
      <c r="D15" s="264"/>
      <c r="E15" s="264"/>
      <c r="F15" s="264"/>
      <c r="G15" s="264"/>
      <c r="H15" s="264"/>
      <c r="I15" s="264"/>
      <c r="J15" s="264"/>
      <c r="K15" s="264"/>
      <c r="L15" s="264"/>
      <c r="M15" s="264"/>
      <c r="N15" s="58"/>
    </row>
    <row r="16" spans="2:14" ht="42.75" customHeight="1" x14ac:dyDescent="0.3">
      <c r="B16" s="215"/>
      <c r="C16" s="267" t="s">
        <v>1042</v>
      </c>
      <c r="D16" s="267"/>
      <c r="E16" s="266" t="s">
        <v>1044</v>
      </c>
      <c r="F16" s="266"/>
      <c r="G16" s="266"/>
      <c r="H16" s="266"/>
      <c r="I16" s="266"/>
      <c r="J16" s="266"/>
      <c r="K16" s="266"/>
      <c r="L16" s="266"/>
      <c r="M16" s="266"/>
      <c r="N16" s="215"/>
    </row>
    <row r="17" spans="2:14" ht="42.75" customHeight="1" x14ac:dyDescent="0.3">
      <c r="B17" s="215"/>
      <c r="C17" s="267" t="s">
        <v>1043</v>
      </c>
      <c r="D17" s="267"/>
      <c r="E17" s="266" t="s">
        <v>1046</v>
      </c>
      <c r="F17" s="266"/>
      <c r="G17" s="266"/>
      <c r="H17" s="266"/>
      <c r="I17" s="266"/>
      <c r="J17" s="266"/>
      <c r="K17" s="266"/>
      <c r="L17" s="266"/>
      <c r="M17" s="266"/>
      <c r="N17" s="215"/>
    </row>
    <row r="18" spans="2:14" ht="45.75" customHeight="1" x14ac:dyDescent="0.3">
      <c r="B18" s="207"/>
      <c r="C18" s="265" t="s">
        <v>932</v>
      </c>
      <c r="D18" s="265"/>
      <c r="E18" s="266" t="s">
        <v>1047</v>
      </c>
      <c r="F18" s="266"/>
      <c r="G18" s="266"/>
      <c r="H18" s="266"/>
      <c r="I18" s="266"/>
      <c r="J18" s="266"/>
      <c r="K18" s="266"/>
      <c r="L18" s="266"/>
      <c r="M18" s="266"/>
      <c r="N18" s="207"/>
    </row>
    <row r="19" spans="2:14" ht="42.75" customHeight="1" x14ac:dyDescent="0.3">
      <c r="B19" s="207"/>
      <c r="C19" s="265" t="s">
        <v>933</v>
      </c>
      <c r="D19" s="265"/>
      <c r="E19" s="266" t="s">
        <v>1048</v>
      </c>
      <c r="F19" s="266"/>
      <c r="G19" s="266"/>
      <c r="H19" s="266"/>
      <c r="I19" s="266"/>
      <c r="J19" s="266"/>
      <c r="K19" s="266"/>
      <c r="L19" s="266"/>
      <c r="M19" s="266"/>
      <c r="N19" s="207"/>
    </row>
    <row r="20" spans="2:14" ht="57.75" customHeight="1" x14ac:dyDescent="0.3">
      <c r="B20" s="215"/>
      <c r="C20" s="265" t="s">
        <v>1049</v>
      </c>
      <c r="D20" s="265"/>
      <c r="E20" s="266" t="s">
        <v>1050</v>
      </c>
      <c r="F20" s="266"/>
      <c r="G20" s="266"/>
      <c r="H20" s="266"/>
      <c r="I20" s="266"/>
      <c r="J20" s="266"/>
      <c r="K20" s="266"/>
      <c r="L20" s="266"/>
      <c r="M20" s="266"/>
      <c r="N20" s="215"/>
    </row>
    <row r="21" spans="2:14" ht="21" customHeight="1" x14ac:dyDescent="0.3">
      <c r="B21" s="71"/>
      <c r="C21" s="264" t="s">
        <v>1018</v>
      </c>
      <c r="D21" s="264"/>
      <c r="E21" s="264"/>
      <c r="F21" s="264"/>
      <c r="G21" s="264"/>
      <c r="H21" s="264"/>
      <c r="I21" s="264"/>
      <c r="J21" s="264"/>
      <c r="K21" s="264"/>
      <c r="L21" s="264"/>
      <c r="M21" s="264"/>
      <c r="N21" s="58"/>
    </row>
    <row r="22" spans="2:14" ht="42.75" customHeight="1" x14ac:dyDescent="0.3">
      <c r="B22" s="215"/>
      <c r="C22" s="265" t="s">
        <v>1051</v>
      </c>
      <c r="D22" s="265"/>
      <c r="E22" s="266" t="s">
        <v>1053</v>
      </c>
      <c r="F22" s="266"/>
      <c r="G22" s="266"/>
      <c r="H22" s="266"/>
      <c r="I22" s="266"/>
      <c r="J22" s="266"/>
      <c r="K22" s="266"/>
      <c r="L22" s="266"/>
      <c r="M22" s="266"/>
      <c r="N22" s="215"/>
    </row>
    <row r="23" spans="2:14" ht="45.75" customHeight="1" x14ac:dyDescent="0.3">
      <c r="B23" s="215"/>
      <c r="C23" s="267" t="s">
        <v>1052</v>
      </c>
      <c r="D23" s="267"/>
      <c r="E23" s="266" t="s">
        <v>1075</v>
      </c>
      <c r="F23" s="266"/>
      <c r="G23" s="266"/>
      <c r="H23" s="266"/>
      <c r="I23" s="266"/>
      <c r="J23" s="266"/>
      <c r="K23" s="266"/>
      <c r="L23" s="266"/>
      <c r="M23" s="266"/>
      <c r="N23" s="215"/>
    </row>
    <row r="24" spans="2:14" ht="14.25" customHeight="1" x14ac:dyDescent="0.3">
      <c r="B24" s="71"/>
      <c r="C24" s="264" t="s">
        <v>1019</v>
      </c>
      <c r="D24" s="264"/>
      <c r="E24" s="264"/>
      <c r="F24" s="264"/>
      <c r="G24" s="264"/>
      <c r="H24" s="264"/>
      <c r="I24" s="264"/>
      <c r="J24" s="264"/>
      <c r="K24" s="264"/>
      <c r="L24" s="264"/>
      <c r="M24" s="264"/>
      <c r="N24" s="58"/>
    </row>
    <row r="25" spans="2:14" ht="49.5" customHeight="1" x14ac:dyDescent="0.3">
      <c r="B25" s="215"/>
      <c r="C25" s="265" t="s">
        <v>1036</v>
      </c>
      <c r="D25" s="265"/>
      <c r="E25" s="266" t="s">
        <v>1054</v>
      </c>
      <c r="F25" s="266"/>
      <c r="G25" s="266"/>
      <c r="H25" s="266"/>
      <c r="I25" s="266"/>
      <c r="J25" s="266"/>
      <c r="K25" s="266"/>
      <c r="L25" s="266"/>
      <c r="M25" s="266"/>
      <c r="N25" s="215"/>
    </row>
    <row r="26" spans="2:14" ht="64.5" customHeight="1" x14ac:dyDescent="0.3">
      <c r="B26" s="215"/>
      <c r="C26" s="265" t="s">
        <v>1055</v>
      </c>
      <c r="D26" s="265"/>
      <c r="E26" s="266" t="s">
        <v>1056</v>
      </c>
      <c r="F26" s="266"/>
      <c r="G26" s="266"/>
      <c r="H26" s="266"/>
      <c r="I26" s="266"/>
      <c r="J26" s="266"/>
      <c r="K26" s="266"/>
      <c r="L26" s="266"/>
      <c r="M26" s="266"/>
      <c r="N26" s="215"/>
    </row>
    <row r="27" spans="2:14" ht="59.25" customHeight="1" x14ac:dyDescent="0.3">
      <c r="B27" s="215"/>
      <c r="C27" s="265" t="s">
        <v>1039</v>
      </c>
      <c r="D27" s="265"/>
      <c r="E27" s="266" t="s">
        <v>1057</v>
      </c>
      <c r="F27" s="266"/>
      <c r="G27" s="266"/>
      <c r="H27" s="266"/>
      <c r="I27" s="266"/>
      <c r="J27" s="266"/>
      <c r="K27" s="266"/>
      <c r="L27" s="266"/>
      <c r="M27" s="266"/>
      <c r="N27" s="215"/>
    </row>
    <row r="28" spans="2:14" ht="14.25" customHeight="1" x14ac:dyDescent="0.3">
      <c r="B28" s="71"/>
      <c r="C28" s="264" t="s">
        <v>1040</v>
      </c>
      <c r="D28" s="264"/>
      <c r="E28" s="264"/>
      <c r="F28" s="264"/>
      <c r="G28" s="264"/>
      <c r="H28" s="264"/>
      <c r="I28" s="264"/>
      <c r="J28" s="264"/>
      <c r="K28" s="264"/>
      <c r="L28" s="264"/>
      <c r="M28" s="264"/>
      <c r="N28" s="58"/>
    </row>
    <row r="29" spans="2:14" ht="58.5" customHeight="1" x14ac:dyDescent="0.3">
      <c r="B29" s="215"/>
      <c r="C29" s="265" t="s">
        <v>1041</v>
      </c>
      <c r="D29" s="265"/>
      <c r="E29" s="266" t="s">
        <v>1058</v>
      </c>
      <c r="F29" s="266"/>
      <c r="G29" s="266"/>
      <c r="H29" s="266"/>
      <c r="I29" s="266"/>
      <c r="J29" s="266"/>
      <c r="K29" s="266"/>
      <c r="L29" s="266"/>
      <c r="M29" s="266"/>
      <c r="N29" s="215"/>
    </row>
    <row r="30" spans="2:14" ht="14.25" customHeight="1" x14ac:dyDescent="0.3">
      <c r="B30" s="71"/>
      <c r="C30" s="264" t="s">
        <v>1024</v>
      </c>
      <c r="D30" s="264"/>
      <c r="E30" s="264"/>
      <c r="F30" s="264"/>
      <c r="G30" s="264"/>
      <c r="H30" s="264"/>
      <c r="I30" s="264"/>
      <c r="J30" s="264"/>
      <c r="K30" s="264"/>
      <c r="L30" s="264"/>
      <c r="M30" s="264"/>
      <c r="N30" s="58"/>
    </row>
    <row r="31" spans="2:14" ht="63" customHeight="1" x14ac:dyDescent="0.3">
      <c r="B31" s="215"/>
      <c r="C31" s="265" t="s">
        <v>1025</v>
      </c>
      <c r="D31" s="265"/>
      <c r="E31" s="266" t="s">
        <v>1059</v>
      </c>
      <c r="F31" s="266"/>
      <c r="G31" s="266"/>
      <c r="H31" s="266"/>
      <c r="I31" s="266"/>
      <c r="J31" s="266"/>
      <c r="K31" s="266"/>
      <c r="L31" s="266"/>
      <c r="M31" s="266"/>
      <c r="N31" s="215"/>
    </row>
    <row r="32" spans="2:14" ht="14.25" customHeight="1" x14ac:dyDescent="0.3">
      <c r="B32" s="71"/>
      <c r="C32" s="264" t="s">
        <v>934</v>
      </c>
      <c r="D32" s="264"/>
      <c r="E32" s="264"/>
      <c r="F32" s="264"/>
      <c r="G32" s="264"/>
      <c r="H32" s="264"/>
      <c r="I32" s="264"/>
      <c r="J32" s="264"/>
      <c r="K32" s="264"/>
      <c r="L32" s="264"/>
      <c r="M32" s="264"/>
      <c r="N32" s="58"/>
    </row>
    <row r="33" spans="2:14" ht="42.75" customHeight="1" x14ac:dyDescent="0.3">
      <c r="B33" s="207"/>
      <c r="C33" s="267" t="s">
        <v>1060</v>
      </c>
      <c r="D33" s="267"/>
      <c r="E33" s="266" t="s">
        <v>1061</v>
      </c>
      <c r="F33" s="266"/>
      <c r="G33" s="266"/>
      <c r="H33" s="266"/>
      <c r="I33" s="266"/>
      <c r="J33" s="266"/>
      <c r="K33" s="266"/>
      <c r="L33" s="266"/>
      <c r="M33" s="266"/>
      <c r="N33" s="207"/>
    </row>
    <row r="34" spans="2:14" ht="14.25" customHeight="1" x14ac:dyDescent="0.3">
      <c r="B34" s="71"/>
      <c r="C34" s="264" t="s">
        <v>935</v>
      </c>
      <c r="D34" s="264"/>
      <c r="E34" s="264"/>
      <c r="F34" s="264"/>
      <c r="G34" s="264"/>
      <c r="H34" s="264"/>
      <c r="I34" s="264"/>
      <c r="J34" s="264"/>
      <c r="K34" s="264"/>
      <c r="L34" s="264"/>
      <c r="M34" s="264"/>
      <c r="N34" s="58"/>
    </row>
    <row r="35" spans="2:14" ht="42.75" customHeight="1" x14ac:dyDescent="0.3">
      <c r="B35" s="215"/>
      <c r="C35" s="265" t="s">
        <v>1033</v>
      </c>
      <c r="D35" s="265"/>
      <c r="E35" s="266" t="s">
        <v>1062</v>
      </c>
      <c r="F35" s="266"/>
      <c r="G35" s="266"/>
      <c r="H35" s="266"/>
      <c r="I35" s="266"/>
      <c r="J35" s="266"/>
      <c r="K35" s="266"/>
      <c r="L35" s="266"/>
      <c r="M35" s="266"/>
      <c r="N35" s="215"/>
    </row>
    <row r="36" spans="2:14" ht="61.5" customHeight="1" x14ac:dyDescent="0.3">
      <c r="B36" s="207"/>
      <c r="C36" s="265" t="s">
        <v>936</v>
      </c>
      <c r="D36" s="265"/>
      <c r="E36" s="266" t="s">
        <v>1063</v>
      </c>
      <c r="F36" s="266"/>
      <c r="G36" s="266"/>
      <c r="H36" s="266"/>
      <c r="I36" s="266"/>
      <c r="J36" s="266"/>
      <c r="K36" s="266"/>
      <c r="L36" s="266"/>
      <c r="M36" s="266"/>
      <c r="N36" s="207"/>
    </row>
    <row r="37" spans="2:14" ht="14.25" customHeight="1" x14ac:dyDescent="0.3">
      <c r="B37" s="71"/>
      <c r="C37" s="264" t="s">
        <v>1020</v>
      </c>
      <c r="D37" s="264"/>
      <c r="E37" s="264"/>
      <c r="F37" s="264"/>
      <c r="G37" s="264"/>
      <c r="H37" s="264"/>
      <c r="I37" s="264"/>
      <c r="J37" s="264"/>
      <c r="K37" s="264"/>
      <c r="L37" s="264"/>
      <c r="M37" s="264"/>
      <c r="N37" s="58"/>
    </row>
    <row r="38" spans="2:14" ht="85.5" customHeight="1" x14ac:dyDescent="0.3">
      <c r="B38" s="215"/>
      <c r="C38" s="265" t="s">
        <v>1023</v>
      </c>
      <c r="D38" s="265"/>
      <c r="E38" s="266" t="s">
        <v>1064</v>
      </c>
      <c r="F38" s="266"/>
      <c r="G38" s="266"/>
      <c r="H38" s="266"/>
      <c r="I38" s="266"/>
      <c r="J38" s="266"/>
      <c r="K38" s="266"/>
      <c r="L38" s="266"/>
      <c r="M38" s="266"/>
      <c r="N38" s="215"/>
    </row>
    <row r="39" spans="2:14" ht="81.75" customHeight="1" x14ac:dyDescent="0.3">
      <c r="B39" s="215"/>
      <c r="C39" s="265" t="s">
        <v>1021</v>
      </c>
      <c r="D39" s="265"/>
      <c r="E39" s="266" t="s">
        <v>1065</v>
      </c>
      <c r="F39" s="266"/>
      <c r="G39" s="266"/>
      <c r="H39" s="266"/>
      <c r="I39" s="266"/>
      <c r="J39" s="266"/>
      <c r="K39" s="266"/>
      <c r="L39" s="266"/>
      <c r="M39" s="266"/>
      <c r="N39" s="215"/>
    </row>
    <row r="40" spans="2:14" ht="47.25" customHeight="1" x14ac:dyDescent="0.3">
      <c r="B40" s="215"/>
      <c r="C40" s="265" t="s">
        <v>1037</v>
      </c>
      <c r="D40" s="265"/>
      <c r="E40" s="266" t="s">
        <v>1066</v>
      </c>
      <c r="F40" s="266"/>
      <c r="G40" s="266"/>
      <c r="H40" s="266"/>
      <c r="I40" s="266"/>
      <c r="J40" s="266"/>
      <c r="K40" s="266"/>
      <c r="L40" s="266"/>
      <c r="M40" s="266"/>
      <c r="N40" s="215"/>
    </row>
    <row r="41" spans="2:14" ht="14.25" customHeight="1" x14ac:dyDescent="0.3">
      <c r="B41" s="71"/>
      <c r="C41" s="264" t="s">
        <v>1016</v>
      </c>
      <c r="D41" s="264"/>
      <c r="E41" s="264"/>
      <c r="F41" s="264"/>
      <c r="G41" s="264"/>
      <c r="H41" s="264"/>
      <c r="I41" s="264"/>
      <c r="J41" s="264"/>
      <c r="K41" s="264"/>
      <c r="L41" s="264"/>
      <c r="M41" s="264"/>
      <c r="N41" s="58"/>
    </row>
    <row r="42" spans="2:14" ht="42.75" customHeight="1" x14ac:dyDescent="0.3">
      <c r="B42" s="215"/>
      <c r="C42" s="265" t="s">
        <v>1034</v>
      </c>
      <c r="D42" s="265"/>
      <c r="E42" s="266" t="s">
        <v>1067</v>
      </c>
      <c r="F42" s="266"/>
      <c r="G42" s="266"/>
      <c r="H42" s="266"/>
      <c r="I42" s="266"/>
      <c r="J42" s="266"/>
      <c r="K42" s="266"/>
      <c r="L42" s="266"/>
      <c r="M42" s="266"/>
      <c r="N42" s="215"/>
    </row>
    <row r="43" spans="2:14" ht="42.75" customHeight="1" x14ac:dyDescent="0.3">
      <c r="B43" s="215"/>
      <c r="C43" s="265" t="s">
        <v>1068</v>
      </c>
      <c r="D43" s="265"/>
      <c r="E43" s="266" t="s">
        <v>1069</v>
      </c>
      <c r="F43" s="266"/>
      <c r="G43" s="266"/>
      <c r="H43" s="266"/>
      <c r="I43" s="266"/>
      <c r="J43" s="266"/>
      <c r="K43" s="266"/>
      <c r="L43" s="266"/>
      <c r="M43" s="266"/>
      <c r="N43" s="215"/>
    </row>
    <row r="44" spans="2:14" ht="42.75" customHeight="1" x14ac:dyDescent="0.3">
      <c r="B44" s="215"/>
      <c r="C44" s="265" t="s">
        <v>1017</v>
      </c>
      <c r="D44" s="265"/>
      <c r="E44" s="266" t="s">
        <v>1070</v>
      </c>
      <c r="F44" s="266"/>
      <c r="G44" s="266"/>
      <c r="H44" s="266"/>
      <c r="I44" s="266"/>
      <c r="J44" s="266"/>
      <c r="K44" s="266"/>
      <c r="L44" s="266"/>
      <c r="M44" s="266"/>
      <c r="N44" s="215"/>
    </row>
    <row r="45" spans="2:14" ht="14.25" customHeight="1" x14ac:dyDescent="0.3">
      <c r="B45" s="71"/>
      <c r="C45" s="264" t="s">
        <v>926</v>
      </c>
      <c r="D45" s="264"/>
      <c r="E45" s="264"/>
      <c r="F45" s="264"/>
      <c r="G45" s="264"/>
      <c r="H45" s="264"/>
      <c r="I45" s="264"/>
      <c r="J45" s="264"/>
      <c r="K45" s="264"/>
      <c r="L45" s="264"/>
      <c r="M45" s="264"/>
      <c r="N45" s="58"/>
    </row>
    <row r="46" spans="2:14" ht="48" customHeight="1" x14ac:dyDescent="0.3">
      <c r="B46" s="199"/>
      <c r="C46" s="265" t="s">
        <v>927</v>
      </c>
      <c r="D46" s="265"/>
      <c r="E46" s="266" t="s">
        <v>1071</v>
      </c>
      <c r="F46" s="266"/>
      <c r="G46" s="266"/>
      <c r="H46" s="266"/>
      <c r="I46" s="266"/>
      <c r="J46" s="266"/>
      <c r="K46" s="266"/>
      <c r="L46" s="266"/>
      <c r="M46" s="266"/>
      <c r="N46" s="199"/>
    </row>
    <row r="47" spans="2:14" ht="48" customHeight="1" x14ac:dyDescent="0.3">
      <c r="B47" s="227"/>
      <c r="C47" s="265" t="s">
        <v>1131</v>
      </c>
      <c r="D47" s="265"/>
      <c r="E47" s="266" t="s">
        <v>1133</v>
      </c>
      <c r="F47" s="266"/>
      <c r="G47" s="266"/>
      <c r="H47" s="266"/>
      <c r="I47" s="266"/>
      <c r="J47" s="266"/>
      <c r="K47" s="266"/>
      <c r="L47" s="266"/>
      <c r="M47" s="266"/>
      <c r="N47" s="227"/>
    </row>
    <row r="48" spans="2:14" ht="42.75" customHeight="1" x14ac:dyDescent="0.3">
      <c r="B48" s="215"/>
      <c r="C48" s="265" t="s">
        <v>1015</v>
      </c>
      <c r="D48" s="265"/>
      <c r="E48" s="266" t="s">
        <v>1072</v>
      </c>
      <c r="F48" s="266"/>
      <c r="G48" s="266"/>
      <c r="H48" s="266"/>
      <c r="I48" s="266"/>
      <c r="J48" s="266"/>
      <c r="K48" s="266"/>
      <c r="L48" s="266"/>
      <c r="M48" s="266"/>
      <c r="N48" s="215"/>
    </row>
    <row r="49" spans="2:16" ht="14.25" customHeight="1" x14ac:dyDescent="0.3">
      <c r="B49" s="71"/>
      <c r="C49" s="264" t="s">
        <v>1028</v>
      </c>
      <c r="D49" s="264"/>
      <c r="E49" s="264"/>
      <c r="F49" s="264"/>
      <c r="G49" s="264"/>
      <c r="H49" s="264"/>
      <c r="I49" s="264"/>
      <c r="J49" s="264"/>
      <c r="K49" s="264"/>
      <c r="L49" s="264"/>
      <c r="M49" s="264"/>
      <c r="N49" s="58"/>
    </row>
    <row r="50" spans="2:16" ht="48.75" customHeight="1" x14ac:dyDescent="0.3">
      <c r="B50" s="215"/>
      <c r="C50" s="265" t="s">
        <v>1073</v>
      </c>
      <c r="D50" s="265"/>
      <c r="E50" s="266" t="s">
        <v>1074</v>
      </c>
      <c r="F50" s="266"/>
      <c r="G50" s="266"/>
      <c r="H50" s="266"/>
      <c r="I50" s="266"/>
      <c r="J50" s="266"/>
      <c r="K50" s="266"/>
      <c r="L50" s="266"/>
      <c r="M50" s="266"/>
      <c r="N50" s="215"/>
    </row>
    <row r="51" spans="2:16" ht="14.25" customHeight="1" x14ac:dyDescent="0.3">
      <c r="B51" s="34"/>
      <c r="C51" s="210"/>
      <c r="D51" s="34"/>
      <c r="E51" s="214"/>
      <c r="F51" s="214"/>
      <c r="G51" s="214"/>
      <c r="H51" s="214"/>
      <c r="I51" s="214"/>
      <c r="J51" s="214"/>
      <c r="K51" s="214"/>
      <c r="L51" s="214"/>
      <c r="M51" s="214"/>
      <c r="N51" s="34"/>
      <c r="O51" s="56"/>
      <c r="P51" s="56"/>
    </row>
    <row r="52" spans="2:16" x14ac:dyDescent="0.3">
      <c r="O52" s="56"/>
      <c r="P52" s="56"/>
    </row>
  </sheetData>
  <mergeCells count="65">
    <mergeCell ref="C47:D47"/>
    <mergeCell ref="E47:M47"/>
    <mergeCell ref="C20:D20"/>
    <mergeCell ref="E20:M20"/>
    <mergeCell ref="C43:D43"/>
    <mergeCell ref="E43:M43"/>
    <mergeCell ref="C28:M28"/>
    <mergeCell ref="C29:D29"/>
    <mergeCell ref="E29:M29"/>
    <mergeCell ref="C35:D35"/>
    <mergeCell ref="E35:M35"/>
    <mergeCell ref="C42:D42"/>
    <mergeCell ref="E42:M42"/>
    <mergeCell ref="C40:D40"/>
    <mergeCell ref="E40:M40"/>
    <mergeCell ref="C27:D27"/>
    <mergeCell ref="E27:M27"/>
    <mergeCell ref="C26:D26"/>
    <mergeCell ref="E26:M26"/>
    <mergeCell ref="C22:D22"/>
    <mergeCell ref="E22:M22"/>
    <mergeCell ref="C24:M24"/>
    <mergeCell ref="C25:D25"/>
    <mergeCell ref="E25:M25"/>
    <mergeCell ref="C41:M41"/>
    <mergeCell ref="C44:D44"/>
    <mergeCell ref="E44:M44"/>
    <mergeCell ref="C10:H11"/>
    <mergeCell ref="E46:M46"/>
    <mergeCell ref="C46:D46"/>
    <mergeCell ref="C14:D14"/>
    <mergeCell ref="E14:M14"/>
    <mergeCell ref="C45:M45"/>
    <mergeCell ref="C32:M32"/>
    <mergeCell ref="C33:D33"/>
    <mergeCell ref="E33:M33"/>
    <mergeCell ref="C34:M34"/>
    <mergeCell ref="C36:D36"/>
    <mergeCell ref="E36:M36"/>
    <mergeCell ref="C21:M21"/>
    <mergeCell ref="C13:M13"/>
    <mergeCell ref="C15:M15"/>
    <mergeCell ref="C18:D18"/>
    <mergeCell ref="E18:M18"/>
    <mergeCell ref="C19:D19"/>
    <mergeCell ref="E19:M19"/>
    <mergeCell ref="C17:D17"/>
    <mergeCell ref="E17:M17"/>
    <mergeCell ref="E16:M16"/>
    <mergeCell ref="C49:M49"/>
    <mergeCell ref="C50:D50"/>
    <mergeCell ref="E50:M50"/>
    <mergeCell ref="C16:D16"/>
    <mergeCell ref="C23:D23"/>
    <mergeCell ref="E23:M23"/>
    <mergeCell ref="C37:M37"/>
    <mergeCell ref="C39:D39"/>
    <mergeCell ref="E39:M39"/>
    <mergeCell ref="C38:D38"/>
    <mergeCell ref="E38:M38"/>
    <mergeCell ref="C30:M30"/>
    <mergeCell ref="C31:D31"/>
    <mergeCell ref="E31:M31"/>
    <mergeCell ref="C48:D48"/>
    <mergeCell ref="E48:M48"/>
  </mergeCells>
  <hyperlinks>
    <hyperlink ref="C10:H11" location="Glossar!A1" display="Begriffe, die unterstrichen und in grüner Farbe dargestellt sind, sind in diesem Glossar zu finden. Mit einem Klick auf die Zelle, in der der Begriff steht, gelangt man zum Glossar." xr:uid="{797387C2-1362-4AC5-B1FF-32B445652A3B}"/>
  </hyperlinks>
  <pageMargins left="0.7" right="0.7" top="0.78740157499999996" bottom="0.78740157499999996" header="0.3" footer="0.3"/>
  <pageSetup paperSize="9"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83335-EA8A-40C3-803C-A7ACDA0881B7}">
  <dimension ref="B4:D20"/>
  <sheetViews>
    <sheetView workbookViewId="0">
      <selection activeCell="B4" sqref="B4:D4"/>
    </sheetView>
  </sheetViews>
  <sheetFormatPr baseColWidth="10" defaultRowHeight="14.5" x14ac:dyDescent="0.35"/>
  <sheetData>
    <row r="4" spans="2:4" x14ac:dyDescent="0.35">
      <c r="B4" cm="1">
        <f t="array" ref="B4:B20">INDEX(_xlfn._xlws.FILTER('TD1.1'!B16:H32,'TD1.1'!H16:H32&lt;&gt;"Vollständig"),,1)</f>
        <v>1</v>
      </c>
      <c r="C4">
        <f>IF(B4=0,C3,B4)</f>
        <v>1</v>
      </c>
      <c r="D4" t="str" cm="1">
        <f t="array" ref="D4:D20">INDEX(_xlfn._xlws.FILTER('TD1.1'!B16:H32,'TD1.1'!H16:H32&lt;&gt;"Vollständig"),,2)</f>
        <v>Ist sichergestellt, dass die Mitarbeitenden wissen – basierend auf ihrer Erfahrung oder etablierten Kenntnissen –, wann sie im Entwicklungsprozess mit dem Redaktionsprozess beginnen müssen?</v>
      </c>
    </row>
    <row r="5" spans="2:4" x14ac:dyDescent="0.35">
      <c r="B5">
        <v>2</v>
      </c>
      <c r="C5">
        <f t="shared" ref="C5:C20" si="0">IF(B5=0,C4,B5)</f>
        <v>2</v>
      </c>
      <c r="D5" t="str">
        <v>Sind in Entwicklungsprozessen allgemeine erforderliche Ressourcen für den Redaktionsprozess vorab bekannt? Sind ausreichend Ressourcen vorhanden?</v>
      </c>
    </row>
    <row r="6" spans="2:4" x14ac:dyDescent="0.35">
      <c r="B6">
        <v>0</v>
      </c>
      <c r="C6">
        <f t="shared" si="0"/>
        <v>2</v>
      </c>
      <c r="D6" t="str">
        <v>Sind in Entwicklungsprozessen Deadlines für die Fertigstellung der Dokumentation definiert? Lässt sich ein Einstiegspunkt für den redaktionellen Prozess bestimmen?</v>
      </c>
    </row>
    <row r="7" spans="2:4" x14ac:dyDescent="0.35">
      <c r="B7">
        <v>0</v>
      </c>
      <c r="C7">
        <f t="shared" si="0"/>
        <v>2</v>
      </c>
      <c r="D7" t="str">
        <v>Ist die Vorgehensweise zur Etablierung eines auf den Entwicklungsprozess angeglichenen Redaktionsprozess geplant (Beispielsweise in einer Roadmap)?</v>
      </c>
    </row>
    <row r="8" spans="2:4" x14ac:dyDescent="0.35">
      <c r="B8">
        <v>0</v>
      </c>
      <c r="C8">
        <f t="shared" si="0"/>
        <v>2</v>
      </c>
      <c r="D8" t="str">
        <v>Existiert eine Leitlinie für durchzuführende Aufgaben im Redaktionsprozess und wird diese gelegentlich aktualisiert?</v>
      </c>
    </row>
    <row r="9" spans="2:4" x14ac:dyDescent="0.35">
      <c r="B9">
        <v>3</v>
      </c>
      <c r="C9">
        <f t="shared" si="0"/>
        <v>3</v>
      </c>
      <c r="D9" t="str">
        <v>Wurde der Redaktionsprozess in Arbeitspakete zerlegt und sind diese an einzelne Entwicklungsaufgaben gekoppelt?</v>
      </c>
    </row>
    <row r="10" spans="2:4" x14ac:dyDescent="0.35">
      <c r="B10">
        <v>0</v>
      </c>
      <c r="C10">
        <f t="shared" si="0"/>
        <v>3</v>
      </c>
      <c r="D10" t="str">
        <v>Finden regelmäßige Abstimmungen mit allen relevanten Stakeholdern statt?</v>
      </c>
    </row>
    <row r="11" spans="2:4" x14ac:dyDescent="0.35">
      <c r="B11">
        <v>0</v>
      </c>
      <c r="C11">
        <f t="shared" si="0"/>
        <v>3</v>
      </c>
      <c r="D11" t="str">
        <v>Wurde eine Ressourcenplanung für einzelne Aufgaben im Redaktionsprozess durchgeführt?</v>
      </c>
    </row>
    <row r="12" spans="2:4" x14ac:dyDescent="0.35">
      <c r="B12">
        <v>0</v>
      </c>
      <c r="C12">
        <f t="shared" si="0"/>
        <v>3</v>
      </c>
      <c r="D12" t="str">
        <v>Wird der reale Ressourcenbedarf dokumentiert und regelmäßig mit den Planungsdaten verglichen?</v>
      </c>
    </row>
    <row r="13" spans="2:4" x14ac:dyDescent="0.35">
      <c r="B13">
        <v>0</v>
      </c>
      <c r="C13">
        <f t="shared" si="0"/>
        <v>3</v>
      </c>
      <c r="D13" t="str">
        <v>Sind zeitkritische Redaktionsaufgaben bekannt und werden mit entsprechendem Puffer berücksichtigt?</v>
      </c>
    </row>
    <row r="14" spans="2:4" x14ac:dyDescent="0.35">
      <c r="B14">
        <v>0</v>
      </c>
      <c r="C14">
        <f t="shared" si="0"/>
        <v>3</v>
      </c>
      <c r="D14" t="str">
        <v>Werden Verbesserungspotentiale zur Vorgehensweise im Redaktionsprozess identifiziert?</v>
      </c>
    </row>
    <row r="15" spans="2:4" x14ac:dyDescent="0.35">
      <c r="B15">
        <v>4</v>
      </c>
      <c r="C15">
        <f t="shared" si="0"/>
        <v>4</v>
      </c>
      <c r="D15" t="str">
        <v>Ist die Ressourcenplanung systemgestützt an den Entwicklungsprozess gekoppelt?</v>
      </c>
    </row>
    <row r="16" spans="2:4" x14ac:dyDescent="0.35">
      <c r="B16">
        <v>0</v>
      </c>
      <c r="C16">
        <f t="shared" si="0"/>
        <v>4</v>
      </c>
      <c r="D16" t="str">
        <v>Werden die Performance-Daten aus dem Redaktionsprozess weiter verwendet (z.B. zur verbesserten Prognose des Ressourcenbedarfs)?</v>
      </c>
    </row>
    <row r="17" spans="2:4" x14ac:dyDescent="0.35">
      <c r="B17">
        <v>0</v>
      </c>
      <c r="C17">
        <f t="shared" si="0"/>
        <v>4</v>
      </c>
      <c r="D17" t="str">
        <v>Wurden Workflows definiert? Werden die Aufgaben mit Deadlines an die Verantwortlichen gesendet (z.B. Ticketsystem)?</v>
      </c>
    </row>
    <row r="18" spans="2:4" x14ac:dyDescent="0.35">
      <c r="B18">
        <v>5</v>
      </c>
      <c r="C18">
        <f t="shared" si="0"/>
        <v>5</v>
      </c>
      <c r="D18" t="str">
        <v>Wird bei Änderungen im Entwicklungsprozess (z.B. Produktänderungen) der Redaktionsprozess angestoßen? Werden die Ressourcen dynamisch angepasst?</v>
      </c>
    </row>
    <row r="19" spans="2:4" x14ac:dyDescent="0.35">
      <c r="B19">
        <v>0</v>
      </c>
      <c r="C19">
        <f t="shared" si="0"/>
        <v>5</v>
      </c>
      <c r="D19" t="str">
        <v>Werden benötigte Ressourcen für den Redaktionsprozess automatisiert geplant und priorisiert (z.B. auf Grundlage des Projektfortschritts)?</v>
      </c>
    </row>
    <row r="20" spans="2:4" x14ac:dyDescent="0.35">
      <c r="B20">
        <v>0</v>
      </c>
      <c r="C20">
        <f t="shared" si="0"/>
        <v>5</v>
      </c>
      <c r="D20" t="str">
        <v>Werden basierend auf aktuellen Entwicklungen Verbesserungspotentiale für den Redaktionsprozess identifiziert, bewertet und umgesetzt?</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1">
    <tabColor rgb="FF333399"/>
    <pageSetUpPr fitToPage="1"/>
  </sheetPr>
  <dimension ref="B4:AG32"/>
  <sheetViews>
    <sheetView showGridLines="0" zoomScaleNormal="100" zoomScalePageLayoutView="85" workbookViewId="0">
      <selection activeCell="H17" sqref="H17:I17"/>
    </sheetView>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59.54296875" style="48" hidden="1" customWidth="1" outlineLevel="1"/>
    <col min="7" max="7" width="26.453125" style="48" hidden="1" customWidth="1" outlineLevel="1"/>
    <col min="8" max="8" width="11.453125" style="48" collapsed="1"/>
    <col min="9" max="10" width="11.453125" style="48"/>
    <col min="11" max="11" width="13.26953125" style="48" customWidth="1"/>
    <col min="12" max="12" width="14" style="48" bestFit="1" customWidth="1"/>
    <col min="13" max="13" width="33.54296875" style="48" customWidth="1"/>
    <col min="14" max="14" width="11.453125" style="48"/>
    <col min="15" max="15" width="13.26953125" style="48" customWidth="1"/>
    <col min="16" max="16" width="11.453125" style="48"/>
    <col min="17" max="17" width="32.1796875" style="48" customWidth="1"/>
    <col min="18" max="18" width="11.453125" style="49"/>
    <col min="19" max="24" width="11.453125" style="48" customWidth="1"/>
    <col min="25" max="25" width="14" style="48" customWidth="1"/>
    <col min="26" max="32" width="11.453125" style="48" customWidth="1"/>
    <col min="33" max="33" width="11.453125" style="48" hidden="1" customWidth="1"/>
    <col min="34" max="16384" width="11.453125" style="48"/>
  </cols>
  <sheetData>
    <row r="4" spans="2:33" ht="14" x14ac:dyDescent="0.3">
      <c r="B4" s="290" t="s">
        <v>39</v>
      </c>
      <c r="C4" s="290"/>
      <c r="D4" s="290"/>
      <c r="E4" s="290"/>
      <c r="F4" s="290"/>
      <c r="G4" s="290"/>
      <c r="H4" s="290"/>
      <c r="I4" s="290"/>
      <c r="J4" s="290"/>
      <c r="K4" s="290"/>
      <c r="L4" s="290"/>
      <c r="M4" s="290"/>
      <c r="N4" s="216"/>
      <c r="O4" s="216"/>
      <c r="P4" s="216"/>
      <c r="Q4" s="216"/>
    </row>
    <row r="5" spans="2:33" ht="9" customHeight="1" x14ac:dyDescent="0.25"/>
    <row r="6" spans="2:33" ht="32.25" customHeight="1" thickBot="1" x14ac:dyDescent="0.3">
      <c r="B6" s="163" t="s">
        <v>86</v>
      </c>
      <c r="C6" s="293" t="s">
        <v>192</v>
      </c>
      <c r="D6" s="293"/>
      <c r="E6" s="293"/>
      <c r="F6" s="293"/>
      <c r="G6" s="293"/>
      <c r="H6" s="53"/>
      <c r="I6" s="53"/>
      <c r="J6" s="53"/>
      <c r="K6" s="53" t="s">
        <v>36</v>
      </c>
      <c r="L6" s="55">
        <f>ROUNDDOWN(Z16/0.25,0)*0.25</f>
        <v>0</v>
      </c>
      <c r="M6" s="54" t="str">
        <f>IF(L6&lt;1,"Unvollständig",IF(L6&lt;2,"Initial",IF(L6&lt;3,"Gemanagt",IF(L6&lt;4,"Definiert",IF(L6&lt;5,"Quantitativ gemanagt",IF(L6&lt;6,"Optimiert","Ausstehend"))))))</f>
        <v>Unvollständig</v>
      </c>
      <c r="N6" s="53"/>
      <c r="O6" s="53"/>
      <c r="P6" s="55"/>
      <c r="Q6" s="54"/>
    </row>
    <row r="7" spans="2:33" ht="35.25" hidden="1" customHeight="1" outlineLevel="1" x14ac:dyDescent="0.25">
      <c r="B7" s="76" t="s">
        <v>211</v>
      </c>
      <c r="C7" s="294" t="s">
        <v>1076</v>
      </c>
      <c r="D7" s="295"/>
      <c r="E7" s="295"/>
      <c r="F7" s="295"/>
      <c r="G7" s="295"/>
      <c r="H7" s="295"/>
      <c r="I7" s="295"/>
      <c r="J7" s="295"/>
      <c r="K7" s="295"/>
      <c r="L7" s="295"/>
      <c r="M7" s="296"/>
      <c r="N7" s="218"/>
      <c r="O7" s="218"/>
      <c r="P7" s="218"/>
      <c r="Q7" s="218"/>
    </row>
    <row r="8" spans="2:33" ht="57" hidden="1" customHeight="1" outlineLevel="1" x14ac:dyDescent="0.25">
      <c r="B8" s="51" t="s">
        <v>212</v>
      </c>
      <c r="C8" s="297" t="s">
        <v>218</v>
      </c>
      <c r="D8" s="298"/>
      <c r="E8" s="298"/>
      <c r="F8" s="298"/>
      <c r="G8" s="298"/>
      <c r="H8" s="298"/>
      <c r="I8" s="298"/>
      <c r="J8" s="298"/>
      <c r="K8" s="298"/>
      <c r="L8" s="298"/>
      <c r="M8" s="299"/>
      <c r="N8" s="217"/>
      <c r="O8" s="217"/>
      <c r="P8" s="217"/>
      <c r="Q8" s="217"/>
    </row>
    <row r="9" spans="2:33" ht="86.25" hidden="1" customHeight="1" outlineLevel="1" x14ac:dyDescent="0.25">
      <c r="B9" s="51" t="s">
        <v>30</v>
      </c>
      <c r="C9" s="300" t="s">
        <v>219</v>
      </c>
      <c r="D9" s="301"/>
      <c r="E9" s="301"/>
      <c r="F9" s="301"/>
      <c r="G9" s="301"/>
      <c r="H9" s="301"/>
      <c r="I9" s="301"/>
      <c r="J9" s="301"/>
      <c r="K9" s="301"/>
      <c r="L9" s="301"/>
      <c r="M9" s="302"/>
      <c r="N9" s="218"/>
      <c r="O9" s="218"/>
      <c r="P9" s="218"/>
      <c r="Q9" s="218"/>
    </row>
    <row r="10" spans="2:33" ht="65.25" hidden="1" customHeight="1" outlineLevel="1" x14ac:dyDescent="0.25">
      <c r="B10" s="51" t="s">
        <v>31</v>
      </c>
      <c r="C10" s="300" t="s">
        <v>222</v>
      </c>
      <c r="D10" s="301"/>
      <c r="E10" s="301"/>
      <c r="F10" s="301"/>
      <c r="G10" s="301"/>
      <c r="H10" s="301"/>
      <c r="I10" s="301"/>
      <c r="J10" s="301"/>
      <c r="K10" s="301"/>
      <c r="L10" s="301"/>
      <c r="M10" s="302"/>
      <c r="N10" s="218"/>
      <c r="O10" s="218"/>
      <c r="P10" s="218"/>
      <c r="Q10" s="218"/>
    </row>
    <row r="11" spans="2:33" collapsed="1" x14ac:dyDescent="0.25"/>
    <row r="12" spans="2:33" ht="13" x14ac:dyDescent="0.3">
      <c r="B12" s="50" t="s">
        <v>49</v>
      </c>
      <c r="C12" s="49"/>
    </row>
    <row r="13" spans="2:33" ht="6.75" customHeight="1" x14ac:dyDescent="0.25"/>
    <row r="14" spans="2:33" ht="21.75" customHeight="1" thickBot="1" x14ac:dyDescent="0.3">
      <c r="B14" s="140" t="s">
        <v>34</v>
      </c>
      <c r="C14" s="311" t="s">
        <v>37</v>
      </c>
      <c r="D14" s="312"/>
      <c r="E14" s="313"/>
      <c r="F14" s="277" t="s">
        <v>67</v>
      </c>
      <c r="G14" s="292"/>
      <c r="H14" s="277" t="s">
        <v>3</v>
      </c>
      <c r="I14" s="292"/>
      <c r="J14" s="277" t="s">
        <v>886</v>
      </c>
      <c r="K14" s="278"/>
      <c r="L14" s="278"/>
      <c r="M14" s="278"/>
      <c r="N14" s="277" t="s">
        <v>38</v>
      </c>
      <c r="O14" s="278"/>
      <c r="P14" s="278"/>
      <c r="Q14" s="278"/>
      <c r="T14" s="48" t="s">
        <v>35</v>
      </c>
      <c r="Y14" s="48" t="s">
        <v>45</v>
      </c>
      <c r="Z14" s="48" t="s">
        <v>44</v>
      </c>
    </row>
    <row r="15" spans="2:33" ht="1.5" customHeight="1" x14ac:dyDescent="0.3">
      <c r="B15" s="314"/>
      <c r="C15" s="314"/>
      <c r="D15" s="314"/>
      <c r="E15" s="314"/>
      <c r="F15" s="314"/>
      <c r="G15" s="314"/>
      <c r="H15" s="314"/>
      <c r="I15" s="314"/>
      <c r="J15" s="314"/>
      <c r="K15" s="314"/>
      <c r="L15" s="314"/>
      <c r="M15" s="314"/>
      <c r="N15" s="219"/>
      <c r="O15" s="219"/>
      <c r="P15" s="219"/>
      <c r="Q15" s="219"/>
    </row>
    <row r="16" spans="2:33" ht="40" customHeight="1" thickBot="1" x14ac:dyDescent="0.35">
      <c r="B16" s="181">
        <v>1</v>
      </c>
      <c r="C16" s="291" t="s">
        <v>1116</v>
      </c>
      <c r="D16" s="291"/>
      <c r="E16" s="291"/>
      <c r="F16" s="291" t="s">
        <v>213</v>
      </c>
      <c r="G16" s="291"/>
      <c r="H16" s="303" t="s">
        <v>42</v>
      </c>
      <c r="I16" s="303"/>
      <c r="J16" s="276" t="s">
        <v>29</v>
      </c>
      <c r="K16" s="276"/>
      <c r="L16" s="276"/>
      <c r="M16" s="276"/>
      <c r="N16" s="276"/>
      <c r="O16" s="276"/>
      <c r="P16" s="276"/>
      <c r="Q16" s="276"/>
      <c r="S16" s="225">
        <f>IF(H16="Nicht anwendbar","n.a.",0)</f>
        <v>0</v>
      </c>
      <c r="T16" s="224">
        <f>IF(H16="Vollständig",1,0)</f>
        <v>0</v>
      </c>
      <c r="U16" s="224">
        <f>IF(H16="In den meisten Fällen",0.75,0)</f>
        <v>0</v>
      </c>
      <c r="V16" s="224">
        <f>IF(H16="In ein Paar Fällen",0.5,0)</f>
        <v>0</v>
      </c>
      <c r="W16" s="224">
        <f>IF(H16="Gar nicht",0,0)</f>
        <v>0</v>
      </c>
      <c r="X16" s="224">
        <f>IF(S16&gt;0,"n.a.",SUM(S16:W16))</f>
        <v>0</v>
      </c>
      <c r="Y16" s="48">
        <f>X16</f>
        <v>0</v>
      </c>
      <c r="Z16" s="48">
        <f>IF(Y16&lt;&gt;"n.a.",SUM(Y16,Y17,Y21,Y27,Y30),NA())</f>
        <v>0</v>
      </c>
      <c r="AG16" s="49" t="str">
        <f t="shared" ref="AG16:AG20" si="0">IF(X16&gt;0.5,"Umgesetzt","Nicht umgesetzt")</f>
        <v>Nicht umgesetzt</v>
      </c>
    </row>
    <row r="17" spans="2:33" ht="40" customHeight="1" thickBot="1" x14ac:dyDescent="0.3">
      <c r="B17" s="322">
        <v>2</v>
      </c>
      <c r="C17" s="279" t="s">
        <v>199</v>
      </c>
      <c r="D17" s="279"/>
      <c r="E17" s="279"/>
      <c r="F17" s="318" t="s">
        <v>221</v>
      </c>
      <c r="G17" s="319"/>
      <c r="H17" s="315" t="s">
        <v>42</v>
      </c>
      <c r="I17" s="315"/>
      <c r="J17" s="316" t="s">
        <v>887</v>
      </c>
      <c r="K17" s="317"/>
      <c r="L17" s="317"/>
      <c r="M17" s="317"/>
      <c r="N17" s="272"/>
      <c r="O17" s="272"/>
      <c r="P17" s="272"/>
      <c r="Q17" s="272"/>
      <c r="S17" s="49">
        <f t="shared" ref="S17:S32" si="1">IF(H17="Nicht anwendbar","n.a.",0)</f>
        <v>0</v>
      </c>
      <c r="T17" s="49">
        <f t="shared" ref="T17:T32" si="2">IF(H17="Vollständig",1,0)</f>
        <v>0</v>
      </c>
      <c r="U17" s="49">
        <f>IF(H17="In den meisten Fällen",0.75,0)</f>
        <v>0</v>
      </c>
      <c r="V17" s="49">
        <f>IF(H17="In ein Paar Fällen",0.5,0)</f>
        <v>0</v>
      </c>
      <c r="W17" s="49">
        <f>IF(H17="Gar nicht",0,0)</f>
        <v>0</v>
      </c>
      <c r="X17" s="49">
        <f>IFERROR(SUM(T17:W20)/COUNTIF(H17:H20,"&lt;&gt;Nicht anwendbar"),"n.a.")</f>
        <v>0</v>
      </c>
      <c r="Y17" s="48">
        <f>IF(X16=1,X17,0)</f>
        <v>0</v>
      </c>
      <c r="AG17" s="49" t="str">
        <f t="shared" si="0"/>
        <v>Nicht umgesetzt</v>
      </c>
    </row>
    <row r="18" spans="2:33" ht="40" customHeight="1" thickBot="1" x14ac:dyDescent="0.3">
      <c r="B18" s="323"/>
      <c r="C18" s="279" t="s">
        <v>200</v>
      </c>
      <c r="D18" s="279"/>
      <c r="E18" s="279"/>
      <c r="F18" s="307"/>
      <c r="G18" s="307"/>
      <c r="H18" s="304" t="s">
        <v>42</v>
      </c>
      <c r="I18" s="304"/>
      <c r="J18" s="286"/>
      <c r="K18" s="286"/>
      <c r="L18" s="286"/>
      <c r="M18" s="286"/>
      <c r="N18" s="273"/>
      <c r="O18" s="274"/>
      <c r="P18" s="274"/>
      <c r="Q18" s="274"/>
      <c r="S18" s="49">
        <f t="shared" si="1"/>
        <v>0</v>
      </c>
      <c r="T18" s="49">
        <f t="shared" si="2"/>
        <v>0</v>
      </c>
      <c r="U18" s="49">
        <f t="shared" ref="U18:U20" si="3">IF(H18="In den meisten Fällen",0.75,0)</f>
        <v>0</v>
      </c>
      <c r="V18" s="49">
        <f t="shared" ref="V18:V20" si="4">IF(H18="In ein Paar Fällen",0.5,0)</f>
        <v>0</v>
      </c>
      <c r="W18" s="49">
        <f t="shared" ref="W18:W20" si="5">IF(H18="Gar nicht",0,0)</f>
        <v>0</v>
      </c>
      <c r="X18" s="49"/>
      <c r="AG18" s="49" t="str">
        <f t="shared" si="0"/>
        <v>Nicht umgesetzt</v>
      </c>
    </row>
    <row r="19" spans="2:33" ht="40" customHeight="1" thickBot="1" x14ac:dyDescent="0.3">
      <c r="B19" s="323"/>
      <c r="C19" s="279" t="s">
        <v>201</v>
      </c>
      <c r="D19" s="279"/>
      <c r="E19" s="279"/>
      <c r="F19" s="307"/>
      <c r="G19" s="307"/>
      <c r="H19" s="304" t="s">
        <v>42</v>
      </c>
      <c r="I19" s="304"/>
      <c r="J19" s="286"/>
      <c r="K19" s="286"/>
      <c r="L19" s="286"/>
      <c r="M19" s="286"/>
      <c r="N19" s="273"/>
      <c r="O19" s="274"/>
      <c r="P19" s="274"/>
      <c r="Q19" s="274"/>
      <c r="S19" s="49">
        <f t="shared" si="1"/>
        <v>0</v>
      </c>
      <c r="T19" s="49">
        <f t="shared" si="2"/>
        <v>0</v>
      </c>
      <c r="U19" s="49">
        <f t="shared" si="3"/>
        <v>0</v>
      </c>
      <c r="V19" s="49">
        <f t="shared" si="4"/>
        <v>0</v>
      </c>
      <c r="W19" s="49">
        <f t="shared" si="5"/>
        <v>0</v>
      </c>
      <c r="X19" s="49"/>
      <c r="AG19" s="49" t="str">
        <f t="shared" si="0"/>
        <v>Nicht umgesetzt</v>
      </c>
    </row>
    <row r="20" spans="2:33" ht="40" customHeight="1" thickBot="1" x14ac:dyDescent="0.3">
      <c r="B20" s="324"/>
      <c r="C20" s="321" t="s">
        <v>220</v>
      </c>
      <c r="D20" s="321"/>
      <c r="E20" s="321"/>
      <c r="F20" s="320"/>
      <c r="G20" s="320"/>
      <c r="H20" s="304" t="s">
        <v>42</v>
      </c>
      <c r="I20" s="304"/>
      <c r="J20" s="287"/>
      <c r="K20" s="287"/>
      <c r="L20" s="287"/>
      <c r="M20" s="287"/>
      <c r="N20" s="270"/>
      <c r="O20" s="271"/>
      <c r="P20" s="271"/>
      <c r="Q20" s="271"/>
      <c r="S20" s="75">
        <f t="shared" si="1"/>
        <v>0</v>
      </c>
      <c r="T20" s="75">
        <f t="shared" si="2"/>
        <v>0</v>
      </c>
      <c r="U20" s="75">
        <f t="shared" si="3"/>
        <v>0</v>
      </c>
      <c r="V20" s="75">
        <f t="shared" si="4"/>
        <v>0</v>
      </c>
      <c r="W20" s="75">
        <f t="shared" si="5"/>
        <v>0</v>
      </c>
      <c r="X20" s="75"/>
      <c r="AG20" s="49" t="str">
        <f t="shared" si="0"/>
        <v>Nicht umgesetzt</v>
      </c>
    </row>
    <row r="21" spans="2:33" ht="40" customHeight="1" thickBot="1" x14ac:dyDescent="0.3">
      <c r="B21" s="322">
        <v>3</v>
      </c>
      <c r="C21" s="332" t="s">
        <v>1117</v>
      </c>
      <c r="D21" s="333"/>
      <c r="E21" s="333"/>
      <c r="F21" s="335" t="s">
        <v>790</v>
      </c>
      <c r="G21" s="336"/>
      <c r="H21" s="331" t="s">
        <v>42</v>
      </c>
      <c r="I21" s="331"/>
      <c r="J21" s="280" t="s">
        <v>888</v>
      </c>
      <c r="K21" s="281"/>
      <c r="L21" s="281"/>
      <c r="M21" s="281"/>
      <c r="N21" s="272"/>
      <c r="O21" s="272"/>
      <c r="P21" s="272"/>
      <c r="Q21" s="272"/>
      <c r="S21" s="48">
        <f t="shared" si="1"/>
        <v>0</v>
      </c>
      <c r="T21" s="49">
        <f t="shared" si="2"/>
        <v>0</v>
      </c>
      <c r="U21" s="49">
        <f t="shared" ref="U21:U26" si="6">IF(H21="In den meisten Fällen",0.75,0)</f>
        <v>0</v>
      </c>
      <c r="V21" s="49">
        <f t="shared" ref="V21:V26" si="7">IF(H21="In ein Paar Fällen",0.5,0)</f>
        <v>0</v>
      </c>
      <c r="W21" s="49">
        <f t="shared" ref="W21:W26" si="8">IF(H21="Gar nicht",0,0)</f>
        <v>0</v>
      </c>
      <c r="X21" s="49">
        <f>IFERROR(SUM(T21:W26)/COUNTIF(H21:H26,"&lt;&gt;Nicht anwendbar"),"n.a.")</f>
        <v>0</v>
      </c>
      <c r="Y21" s="48">
        <f>IF(Y17=1,X21,0)</f>
        <v>0</v>
      </c>
    </row>
    <row r="22" spans="2:33" ht="40" customHeight="1" thickBot="1" x14ac:dyDescent="0.3">
      <c r="B22" s="323"/>
      <c r="C22" s="327" t="s">
        <v>48</v>
      </c>
      <c r="D22" s="328"/>
      <c r="E22" s="328"/>
      <c r="F22" s="337"/>
      <c r="G22" s="337"/>
      <c r="H22" s="304" t="s">
        <v>42</v>
      </c>
      <c r="I22" s="304"/>
      <c r="J22" s="282"/>
      <c r="K22" s="282"/>
      <c r="L22" s="282"/>
      <c r="M22" s="282"/>
      <c r="N22" s="273"/>
      <c r="O22" s="274"/>
      <c r="P22" s="274"/>
      <c r="Q22" s="274"/>
      <c r="S22" s="48">
        <f t="shared" si="1"/>
        <v>0</v>
      </c>
      <c r="T22" s="49">
        <f t="shared" si="2"/>
        <v>0</v>
      </c>
      <c r="U22" s="49">
        <f t="shared" si="6"/>
        <v>0</v>
      </c>
      <c r="V22" s="49">
        <f t="shared" si="7"/>
        <v>0</v>
      </c>
      <c r="W22" s="49">
        <f t="shared" si="8"/>
        <v>0</v>
      </c>
    </row>
    <row r="23" spans="2:33" ht="40" customHeight="1" thickBot="1" x14ac:dyDescent="0.3">
      <c r="B23" s="323"/>
      <c r="C23" s="327" t="s">
        <v>203</v>
      </c>
      <c r="D23" s="328"/>
      <c r="E23" s="328"/>
      <c r="F23" s="337"/>
      <c r="G23" s="337"/>
      <c r="H23" s="304" t="s">
        <v>42</v>
      </c>
      <c r="I23" s="304"/>
      <c r="J23" s="282"/>
      <c r="K23" s="282"/>
      <c r="L23" s="282"/>
      <c r="M23" s="282"/>
      <c r="N23" s="273"/>
      <c r="O23" s="274"/>
      <c r="P23" s="274"/>
      <c r="Q23" s="274"/>
      <c r="S23" s="48">
        <f t="shared" si="1"/>
        <v>0</v>
      </c>
      <c r="T23" s="49">
        <f t="shared" si="2"/>
        <v>0</v>
      </c>
      <c r="U23" s="49">
        <f t="shared" si="6"/>
        <v>0</v>
      </c>
      <c r="V23" s="49">
        <f t="shared" si="7"/>
        <v>0</v>
      </c>
      <c r="W23" s="49">
        <f t="shared" si="8"/>
        <v>0</v>
      </c>
    </row>
    <row r="24" spans="2:33" ht="40" customHeight="1" thickBot="1" x14ac:dyDescent="0.3">
      <c r="B24" s="323"/>
      <c r="C24" s="327" t="s">
        <v>205</v>
      </c>
      <c r="D24" s="328"/>
      <c r="E24" s="328"/>
      <c r="F24" s="337"/>
      <c r="G24" s="337"/>
      <c r="H24" s="304" t="s">
        <v>42</v>
      </c>
      <c r="I24" s="304"/>
      <c r="J24" s="282"/>
      <c r="K24" s="282"/>
      <c r="L24" s="282"/>
      <c r="M24" s="282"/>
      <c r="N24" s="273"/>
      <c r="O24" s="274"/>
      <c r="P24" s="274"/>
      <c r="Q24" s="274"/>
      <c r="S24" s="48">
        <f t="shared" si="1"/>
        <v>0</v>
      </c>
      <c r="T24" s="49">
        <f t="shared" si="2"/>
        <v>0</v>
      </c>
      <c r="U24" s="49">
        <f t="shared" si="6"/>
        <v>0</v>
      </c>
      <c r="V24" s="49">
        <f t="shared" si="7"/>
        <v>0</v>
      </c>
      <c r="W24" s="49">
        <f t="shared" si="8"/>
        <v>0</v>
      </c>
    </row>
    <row r="25" spans="2:33" ht="40" customHeight="1" thickBot="1" x14ac:dyDescent="0.3">
      <c r="B25" s="323"/>
      <c r="C25" s="327" t="s">
        <v>204</v>
      </c>
      <c r="D25" s="328"/>
      <c r="E25" s="328"/>
      <c r="F25" s="337"/>
      <c r="G25" s="337"/>
      <c r="H25" s="304" t="s">
        <v>42</v>
      </c>
      <c r="I25" s="304"/>
      <c r="J25" s="282"/>
      <c r="K25" s="282"/>
      <c r="L25" s="282"/>
      <c r="M25" s="282"/>
      <c r="N25" s="273"/>
      <c r="O25" s="274"/>
      <c r="P25" s="274"/>
      <c r="Q25" s="274"/>
      <c r="S25" s="48">
        <f t="shared" si="1"/>
        <v>0</v>
      </c>
      <c r="T25" s="49">
        <f t="shared" si="2"/>
        <v>0</v>
      </c>
      <c r="U25" s="49">
        <f t="shared" si="6"/>
        <v>0</v>
      </c>
      <c r="V25" s="49">
        <f t="shared" si="7"/>
        <v>0</v>
      </c>
      <c r="W25" s="49">
        <f t="shared" si="8"/>
        <v>0</v>
      </c>
    </row>
    <row r="26" spans="2:33" ht="40" customHeight="1" thickBot="1" x14ac:dyDescent="0.3">
      <c r="B26" s="324"/>
      <c r="C26" s="334" t="s">
        <v>202</v>
      </c>
      <c r="D26" s="334"/>
      <c r="E26" s="334"/>
      <c r="F26" s="338"/>
      <c r="G26" s="338"/>
      <c r="H26" s="304" t="s">
        <v>42</v>
      </c>
      <c r="I26" s="304"/>
      <c r="J26" s="283"/>
      <c r="K26" s="283"/>
      <c r="L26" s="283"/>
      <c r="M26" s="283"/>
      <c r="N26" s="275"/>
      <c r="O26" s="271"/>
      <c r="P26" s="271"/>
      <c r="Q26" s="271"/>
      <c r="S26" s="75">
        <f t="shared" si="1"/>
        <v>0</v>
      </c>
      <c r="T26" s="75">
        <f t="shared" si="2"/>
        <v>0</v>
      </c>
      <c r="U26" s="75">
        <f t="shared" si="6"/>
        <v>0</v>
      </c>
      <c r="V26" s="75">
        <f t="shared" si="7"/>
        <v>0</v>
      </c>
      <c r="W26" s="75">
        <f t="shared" si="8"/>
        <v>0</v>
      </c>
      <c r="X26" s="75"/>
    </row>
    <row r="27" spans="2:33" ht="40" customHeight="1" thickBot="1" x14ac:dyDescent="0.3">
      <c r="B27" s="322">
        <v>4</v>
      </c>
      <c r="C27" s="329" t="s">
        <v>206</v>
      </c>
      <c r="D27" s="329"/>
      <c r="E27" s="329"/>
      <c r="F27" s="305" t="s">
        <v>214</v>
      </c>
      <c r="G27" s="306"/>
      <c r="H27" s="331" t="s">
        <v>42</v>
      </c>
      <c r="I27" s="331"/>
      <c r="J27" s="284" t="s">
        <v>1115</v>
      </c>
      <c r="K27" s="285"/>
      <c r="L27" s="285"/>
      <c r="M27" s="285"/>
      <c r="N27" s="272"/>
      <c r="O27" s="272"/>
      <c r="P27" s="272"/>
      <c r="Q27" s="272"/>
      <c r="S27" s="49">
        <f t="shared" si="1"/>
        <v>0</v>
      </c>
      <c r="T27" s="49">
        <f t="shared" si="2"/>
        <v>0</v>
      </c>
      <c r="U27" s="49">
        <f t="shared" ref="U27:U32" si="9">IF(H27="In den meisten Fällen",0.75,0)</f>
        <v>0</v>
      </c>
      <c r="V27" s="49">
        <f t="shared" ref="V27:V32" si="10">IF(H27="In ein Paar Fällen",0.5,0)</f>
        <v>0</v>
      </c>
      <c r="W27" s="49">
        <f t="shared" ref="W27:W32" si="11">IF(H27="Gar nicht",0,0)</f>
        <v>0</v>
      </c>
      <c r="X27" s="49">
        <f>IFERROR(SUM(T27:W29)/COUNTIF(H27:H29,"&lt;&gt;Nicht anwendbar"),"n.a.")</f>
        <v>0</v>
      </c>
      <c r="Y27" s="48">
        <f>IF(Y21=1,X27,0)</f>
        <v>0</v>
      </c>
    </row>
    <row r="28" spans="2:33" ht="40" customHeight="1" thickBot="1" x14ac:dyDescent="0.3">
      <c r="B28" s="323"/>
      <c r="C28" s="279" t="s">
        <v>207</v>
      </c>
      <c r="D28" s="279"/>
      <c r="E28" s="279"/>
      <c r="F28" s="307"/>
      <c r="G28" s="307"/>
      <c r="H28" s="304" t="s">
        <v>42</v>
      </c>
      <c r="I28" s="304"/>
      <c r="J28" s="286"/>
      <c r="K28" s="286"/>
      <c r="L28" s="286"/>
      <c r="M28" s="286"/>
      <c r="N28" s="273"/>
      <c r="O28" s="274"/>
      <c r="P28" s="274"/>
      <c r="Q28" s="274"/>
      <c r="S28" s="49">
        <f t="shared" si="1"/>
        <v>0</v>
      </c>
      <c r="T28" s="49">
        <f t="shared" si="2"/>
        <v>0</v>
      </c>
      <c r="U28" s="49">
        <f t="shared" si="9"/>
        <v>0</v>
      </c>
      <c r="V28" s="49">
        <f t="shared" si="10"/>
        <v>0</v>
      </c>
      <c r="W28" s="49">
        <f t="shared" si="11"/>
        <v>0</v>
      </c>
      <c r="X28" s="49"/>
    </row>
    <row r="29" spans="2:33" ht="40" customHeight="1" thickBot="1" x14ac:dyDescent="0.3">
      <c r="B29" s="323"/>
      <c r="C29" s="330" t="s">
        <v>208</v>
      </c>
      <c r="D29" s="330"/>
      <c r="E29" s="330"/>
      <c r="F29" s="307"/>
      <c r="G29" s="307"/>
      <c r="H29" s="304" t="s">
        <v>42</v>
      </c>
      <c r="I29" s="304"/>
      <c r="J29" s="287"/>
      <c r="K29" s="287"/>
      <c r="L29" s="287"/>
      <c r="M29" s="287"/>
      <c r="N29" s="270"/>
      <c r="O29" s="271"/>
      <c r="P29" s="271"/>
      <c r="Q29" s="271"/>
      <c r="S29" s="142">
        <f t="shared" si="1"/>
        <v>0</v>
      </c>
      <c r="T29" s="142">
        <f t="shared" si="2"/>
        <v>0</v>
      </c>
      <c r="U29" s="142">
        <f t="shared" si="9"/>
        <v>0</v>
      </c>
      <c r="V29" s="142">
        <f t="shared" si="10"/>
        <v>0</v>
      </c>
      <c r="W29" s="142">
        <f t="shared" si="11"/>
        <v>0</v>
      </c>
      <c r="X29" s="142"/>
    </row>
    <row r="30" spans="2:33" ht="40" customHeight="1" thickBot="1" x14ac:dyDescent="0.3">
      <c r="B30" s="325">
        <v>5</v>
      </c>
      <c r="C30" s="329" t="s">
        <v>210</v>
      </c>
      <c r="D30" s="329"/>
      <c r="E30" s="329"/>
      <c r="F30" s="305" t="s">
        <v>215</v>
      </c>
      <c r="G30" s="306"/>
      <c r="H30" s="331" t="s">
        <v>42</v>
      </c>
      <c r="I30" s="331"/>
      <c r="J30" s="284" t="s">
        <v>889</v>
      </c>
      <c r="K30" s="284"/>
      <c r="L30" s="284"/>
      <c r="M30" s="284"/>
      <c r="N30" s="272"/>
      <c r="O30" s="272"/>
      <c r="P30" s="272"/>
      <c r="Q30" s="272"/>
      <c r="S30" s="48">
        <f t="shared" si="1"/>
        <v>0</v>
      </c>
      <c r="T30" s="49">
        <f t="shared" si="2"/>
        <v>0</v>
      </c>
      <c r="U30" s="49">
        <f t="shared" si="9"/>
        <v>0</v>
      </c>
      <c r="V30" s="49">
        <f t="shared" si="10"/>
        <v>0</v>
      </c>
      <c r="W30" s="49">
        <f t="shared" si="11"/>
        <v>0</v>
      </c>
      <c r="X30" s="49">
        <f>IFERROR(SUM(T30:W32)/COUNTIF(H30:H32,"&lt;&gt;Nicht anwendbar"),"n.a.")</f>
        <v>0</v>
      </c>
      <c r="Y30" s="48">
        <f>IF(Y27=1,X30,0)</f>
        <v>0</v>
      </c>
    </row>
    <row r="31" spans="2:33" ht="40" customHeight="1" thickBot="1" x14ac:dyDescent="0.3">
      <c r="B31" s="323"/>
      <c r="C31" s="279" t="s">
        <v>216</v>
      </c>
      <c r="D31" s="279"/>
      <c r="E31" s="279"/>
      <c r="F31" s="307"/>
      <c r="G31" s="307"/>
      <c r="H31" s="304" t="s">
        <v>42</v>
      </c>
      <c r="I31" s="304"/>
      <c r="J31" s="288"/>
      <c r="K31" s="288"/>
      <c r="L31" s="288"/>
      <c r="M31" s="288"/>
      <c r="N31" s="273"/>
      <c r="O31" s="274"/>
      <c r="P31" s="274"/>
      <c r="Q31" s="274"/>
      <c r="S31" s="48">
        <f t="shared" si="1"/>
        <v>0</v>
      </c>
      <c r="T31" s="49">
        <f t="shared" si="2"/>
        <v>0</v>
      </c>
      <c r="U31" s="49">
        <f t="shared" si="9"/>
        <v>0</v>
      </c>
      <c r="V31" s="49">
        <f t="shared" si="10"/>
        <v>0</v>
      </c>
      <c r="W31" s="49">
        <f t="shared" si="11"/>
        <v>0</v>
      </c>
    </row>
    <row r="32" spans="2:33" ht="40" customHeight="1" thickBot="1" x14ac:dyDescent="0.3">
      <c r="B32" s="326"/>
      <c r="C32" s="310" t="s">
        <v>209</v>
      </c>
      <c r="D32" s="310"/>
      <c r="E32" s="310"/>
      <c r="F32" s="308"/>
      <c r="G32" s="308"/>
      <c r="H32" s="309" t="s">
        <v>42</v>
      </c>
      <c r="I32" s="309"/>
      <c r="J32" s="289"/>
      <c r="K32" s="289"/>
      <c r="L32" s="289"/>
      <c r="M32" s="289"/>
      <c r="N32" s="275"/>
      <c r="O32" s="271"/>
      <c r="P32" s="271"/>
      <c r="Q32" s="271"/>
      <c r="S32" s="75">
        <f t="shared" si="1"/>
        <v>0</v>
      </c>
      <c r="T32" s="75">
        <f t="shared" si="2"/>
        <v>0</v>
      </c>
      <c r="U32" s="75">
        <f t="shared" si="9"/>
        <v>0</v>
      </c>
      <c r="V32" s="75">
        <f t="shared" si="10"/>
        <v>0</v>
      </c>
      <c r="W32" s="75">
        <f t="shared" si="11"/>
        <v>0</v>
      </c>
      <c r="X32" s="75"/>
    </row>
  </sheetData>
  <sheetProtection formatCells="0" formatColumns="0" formatRows="0" sort="0" autoFilter="0"/>
  <protectedRanges>
    <protectedRange sqref="H16:I32" name="Bereich2"/>
    <protectedRange sqref="J16:Q32" name="Bereich1"/>
  </protectedRanges>
  <sortState xmlns:xlrd2="http://schemas.microsoft.com/office/spreadsheetml/2017/richdata2" ref="C17:E18">
    <sortCondition ref="C17:C18"/>
  </sortState>
  <mergeCells count="77">
    <mergeCell ref="H30:I30"/>
    <mergeCell ref="H28:I28"/>
    <mergeCell ref="H29:I29"/>
    <mergeCell ref="C21:E21"/>
    <mergeCell ref="C22:E22"/>
    <mergeCell ref="C25:E25"/>
    <mergeCell ref="C26:E26"/>
    <mergeCell ref="F27:G29"/>
    <mergeCell ref="H27:I27"/>
    <mergeCell ref="H26:I26"/>
    <mergeCell ref="F21:G26"/>
    <mergeCell ref="H21:I21"/>
    <mergeCell ref="H22:I22"/>
    <mergeCell ref="H23:I23"/>
    <mergeCell ref="H24:I24"/>
    <mergeCell ref="H25:I25"/>
    <mergeCell ref="B30:B32"/>
    <mergeCell ref="C31:E31"/>
    <mergeCell ref="B21:B26"/>
    <mergeCell ref="B27:B29"/>
    <mergeCell ref="C23:E23"/>
    <mergeCell ref="C24:E24"/>
    <mergeCell ref="C27:E27"/>
    <mergeCell ref="C28:E28"/>
    <mergeCell ref="C29:E29"/>
    <mergeCell ref="C30:E30"/>
    <mergeCell ref="H31:I31"/>
    <mergeCell ref="F30:G32"/>
    <mergeCell ref="H32:I32"/>
    <mergeCell ref="C32:E32"/>
    <mergeCell ref="C14:E14"/>
    <mergeCell ref="B15:M15"/>
    <mergeCell ref="H17:I17"/>
    <mergeCell ref="H18:I18"/>
    <mergeCell ref="J17:M20"/>
    <mergeCell ref="H19:I19"/>
    <mergeCell ref="H20:I20"/>
    <mergeCell ref="F17:G20"/>
    <mergeCell ref="C19:E19"/>
    <mergeCell ref="C20:E20"/>
    <mergeCell ref="B17:B20"/>
    <mergeCell ref="C17:E17"/>
    <mergeCell ref="C18:E18"/>
    <mergeCell ref="J21:M26"/>
    <mergeCell ref="J27:M29"/>
    <mergeCell ref="J30:M32"/>
    <mergeCell ref="B4:M4"/>
    <mergeCell ref="J14:M14"/>
    <mergeCell ref="F16:G16"/>
    <mergeCell ref="F14:G14"/>
    <mergeCell ref="C16:E16"/>
    <mergeCell ref="C6:G6"/>
    <mergeCell ref="C7:M7"/>
    <mergeCell ref="C8:M8"/>
    <mergeCell ref="C9:M9"/>
    <mergeCell ref="C10:M10"/>
    <mergeCell ref="H16:I16"/>
    <mergeCell ref="H14:I14"/>
    <mergeCell ref="J16:M16"/>
    <mergeCell ref="N14:Q14"/>
    <mergeCell ref="N16:Q16"/>
    <mergeCell ref="N17:Q17"/>
    <mergeCell ref="N18:Q18"/>
    <mergeCell ref="N19:Q19"/>
    <mergeCell ref="N20:Q20"/>
    <mergeCell ref="N21:Q21"/>
    <mergeCell ref="N22:Q22"/>
    <mergeCell ref="N23:Q23"/>
    <mergeCell ref="N29:Q29"/>
    <mergeCell ref="N30:Q30"/>
    <mergeCell ref="N31:Q31"/>
    <mergeCell ref="N32:Q32"/>
    <mergeCell ref="N24:Q24"/>
    <mergeCell ref="N25:Q25"/>
    <mergeCell ref="N26:Q26"/>
    <mergeCell ref="N27:Q27"/>
    <mergeCell ref="N28:Q28"/>
  </mergeCells>
  <conditionalFormatting sqref="H16:I32">
    <cfRule type="containsText" dxfId="66" priority="1" operator="containsText" text="Bitte auswählen">
      <formula>NOT(ISERROR(SEARCH("Bitte auswählen",H16)))</formula>
    </cfRule>
  </conditionalFormatting>
  <dataValidations xWindow="859" yWindow="413" count="2">
    <dataValidation allowBlank="1" showInputMessage="1" showErrorMessage="1" promptTitle="[+] Klicken" prompt="Hier können Sie sich erweiterte Informationen zu dem Prozess anzeigen lassen." sqref="A11" xr:uid="{00000000-0002-0000-0500-000000000000}"/>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9F31DC08-3A3B-4B46-9532-AF52AC5D0E61}"/>
  </dataValidations>
  <pageMargins left="0.23622047244094491" right="0.23622047244094491" top="0.74803149606299213" bottom="0.74803149606299213" header="0.31496062992125984" footer="0.31496062992125984"/>
  <pageSetup paperSize="9" scale="52" orientation="landscape" horizontalDpi="4294967293"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859" yWindow="413" count="1">
        <x14:dataValidation type="list" allowBlank="1" showInputMessage="1" showErrorMessage="1" xr:uid="{00000000-0002-0000-0500-000001000000}">
          <x14:formula1>
            <xm:f>Data!$I$3:$I$8</xm:f>
          </x14:formula1>
          <xm:sqref>H16:I32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33399"/>
    <pageSetUpPr fitToPage="1"/>
  </sheetPr>
  <dimension ref="B4:AG28"/>
  <sheetViews>
    <sheetView showGridLines="0" tabSelected="1" topLeftCell="A19" zoomScale="90" zoomScaleNormal="90" zoomScalePageLayoutView="85" workbookViewId="0">
      <selection activeCell="C20" sqref="C20:E20"/>
    </sheetView>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42.7265625" style="48" hidden="1" customWidth="1" outlineLevel="1"/>
    <col min="7" max="7" width="26.453125" style="48" hidden="1" customWidth="1" outlineLevel="1"/>
    <col min="8" max="8" width="11.453125" style="48" collapsed="1"/>
    <col min="9" max="10" width="11.453125" style="48"/>
    <col min="11" max="11" width="13.26953125" style="48" customWidth="1"/>
    <col min="12" max="12" width="11.453125" style="48"/>
    <col min="13" max="13" width="42.453125" style="48" customWidth="1"/>
    <col min="14" max="14" width="11.453125" style="48"/>
    <col min="15" max="15" width="13.26953125" style="48" customWidth="1"/>
    <col min="16" max="16" width="11.453125" style="48"/>
    <col min="17" max="17" width="36.1796875" style="48" customWidth="1"/>
    <col min="18" max="18" width="11.453125" style="49"/>
    <col min="19" max="24" width="11.453125" style="48" customWidth="1"/>
    <col min="25" max="25" width="14" style="48" customWidth="1"/>
    <col min="26" max="32" width="11.453125" style="48" customWidth="1"/>
    <col min="33" max="33" width="11.453125" style="48" hidden="1" customWidth="1"/>
    <col min="34" max="16384" width="11.453125" style="48"/>
  </cols>
  <sheetData>
    <row r="4" spans="2:33" ht="14" x14ac:dyDescent="0.3">
      <c r="B4" s="290" t="s">
        <v>39</v>
      </c>
      <c r="C4" s="290"/>
      <c r="D4" s="290"/>
      <c r="E4" s="290"/>
      <c r="F4" s="290"/>
      <c r="G4" s="290"/>
      <c r="H4" s="290"/>
      <c r="I4" s="290"/>
      <c r="J4" s="290"/>
      <c r="K4" s="290"/>
      <c r="L4" s="290"/>
      <c r="M4" s="290"/>
      <c r="N4" s="216"/>
      <c r="O4" s="216"/>
      <c r="P4" s="216"/>
      <c r="Q4" s="216"/>
    </row>
    <row r="5" spans="2:33" ht="9" customHeight="1" x14ac:dyDescent="0.25"/>
    <row r="6" spans="2:33" ht="32.25" customHeight="1" thickBot="1" x14ac:dyDescent="0.3">
      <c r="B6" s="162" t="s">
        <v>87</v>
      </c>
      <c r="C6" s="293" t="s">
        <v>154</v>
      </c>
      <c r="D6" s="293"/>
      <c r="E6" s="293"/>
      <c r="F6" s="293"/>
      <c r="G6" s="293"/>
      <c r="H6" s="53"/>
      <c r="I6" s="53"/>
      <c r="J6" s="53"/>
      <c r="K6" s="53" t="s">
        <v>36</v>
      </c>
      <c r="L6" s="55">
        <f>ROUNDDOWN(Z16/0.25,0)*0.25</f>
        <v>0</v>
      </c>
      <c r="M6" s="54" t="str">
        <f>IF(L6&lt;1,"Unvollständig",IF(L6&lt;2,"Initial",IF(L6&lt;3,"Gemanagt",IF(L6&lt;4,"Definiert",IF(L6&lt;5,"Quantitativ gemanagt",IF(L6&lt;6,"Optimiert","Ausstehend"))))))</f>
        <v>Unvollständig</v>
      </c>
      <c r="N6" s="53"/>
      <c r="O6" s="53"/>
      <c r="P6" s="55"/>
      <c r="Q6" s="54"/>
    </row>
    <row r="7" spans="2:33" ht="35.25" hidden="1" customHeight="1" outlineLevel="1" x14ac:dyDescent="0.25">
      <c r="B7" s="76" t="s">
        <v>211</v>
      </c>
      <c r="C7" s="294" t="s">
        <v>223</v>
      </c>
      <c r="D7" s="295"/>
      <c r="E7" s="295"/>
      <c r="F7" s="295"/>
      <c r="G7" s="295"/>
      <c r="H7" s="295"/>
      <c r="I7" s="295"/>
      <c r="J7" s="295"/>
      <c r="K7" s="295"/>
      <c r="L7" s="295"/>
      <c r="M7" s="296"/>
      <c r="N7" s="218"/>
      <c r="O7" s="218"/>
      <c r="P7" s="218"/>
      <c r="Q7" s="218"/>
    </row>
    <row r="8" spans="2:33" ht="70.5" hidden="1" customHeight="1" outlineLevel="1" x14ac:dyDescent="0.25">
      <c r="B8" s="51" t="s">
        <v>212</v>
      </c>
      <c r="C8" s="297" t="s">
        <v>225</v>
      </c>
      <c r="D8" s="298"/>
      <c r="E8" s="298"/>
      <c r="F8" s="298"/>
      <c r="G8" s="298"/>
      <c r="H8" s="298"/>
      <c r="I8" s="298"/>
      <c r="J8" s="298"/>
      <c r="K8" s="298"/>
      <c r="L8" s="298"/>
      <c r="M8" s="299"/>
      <c r="N8" s="217"/>
      <c r="O8" s="217"/>
      <c r="P8" s="217"/>
      <c r="Q8" s="217"/>
    </row>
    <row r="9" spans="2:33" ht="75" hidden="1" customHeight="1" outlineLevel="1" x14ac:dyDescent="0.25">
      <c r="B9" s="51" t="s">
        <v>30</v>
      </c>
      <c r="C9" s="300" t="s">
        <v>226</v>
      </c>
      <c r="D9" s="301"/>
      <c r="E9" s="301"/>
      <c r="F9" s="301"/>
      <c r="G9" s="301"/>
      <c r="H9" s="301"/>
      <c r="I9" s="301"/>
      <c r="J9" s="301"/>
      <c r="K9" s="301"/>
      <c r="L9" s="301"/>
      <c r="M9" s="302"/>
      <c r="N9" s="218"/>
      <c r="O9" s="218"/>
      <c r="P9" s="218"/>
      <c r="Q9" s="218"/>
    </row>
    <row r="10" spans="2:33" ht="65.25" hidden="1" customHeight="1" outlineLevel="1" x14ac:dyDescent="0.25">
      <c r="B10" s="51" t="s">
        <v>31</v>
      </c>
      <c r="C10" s="300" t="s">
        <v>227</v>
      </c>
      <c r="D10" s="301"/>
      <c r="E10" s="301"/>
      <c r="F10" s="301"/>
      <c r="G10" s="301"/>
      <c r="H10" s="301"/>
      <c r="I10" s="301"/>
      <c r="J10" s="301"/>
      <c r="K10" s="301"/>
      <c r="L10" s="301"/>
      <c r="M10" s="302"/>
      <c r="N10" s="218"/>
      <c r="O10" s="218"/>
      <c r="P10" s="218"/>
      <c r="Q10" s="218"/>
    </row>
    <row r="11" spans="2:33" collapsed="1" x14ac:dyDescent="0.25"/>
    <row r="12" spans="2:33" ht="13" x14ac:dyDescent="0.3">
      <c r="B12" s="50" t="s">
        <v>33</v>
      </c>
      <c r="C12" s="49"/>
    </row>
    <row r="13" spans="2:33" ht="6.75" customHeight="1" x14ac:dyDescent="0.25"/>
    <row r="14" spans="2:33" ht="21.75" customHeight="1" x14ac:dyDescent="0.25">
      <c r="B14" s="52" t="s">
        <v>34</v>
      </c>
      <c r="C14" s="353" t="s">
        <v>37</v>
      </c>
      <c r="D14" s="354"/>
      <c r="E14" s="355"/>
      <c r="F14" s="341" t="s">
        <v>67</v>
      </c>
      <c r="G14" s="356"/>
      <c r="H14" s="341" t="s">
        <v>3</v>
      </c>
      <c r="I14" s="356"/>
      <c r="J14" s="341" t="s">
        <v>886</v>
      </c>
      <c r="K14" s="342"/>
      <c r="L14" s="342"/>
      <c r="M14" s="342"/>
      <c r="N14" s="341" t="s">
        <v>38</v>
      </c>
      <c r="O14" s="342"/>
      <c r="P14" s="342"/>
      <c r="Q14" s="342"/>
      <c r="T14" s="48" t="s">
        <v>35</v>
      </c>
      <c r="Y14" s="127" t="s">
        <v>45</v>
      </c>
      <c r="Z14" s="127" t="s">
        <v>44</v>
      </c>
    </row>
    <row r="15" spans="2:33" ht="1.5" customHeight="1" x14ac:dyDescent="0.3">
      <c r="B15" s="314"/>
      <c r="C15" s="314"/>
      <c r="D15" s="314"/>
      <c r="E15" s="314"/>
      <c r="F15" s="314"/>
      <c r="G15" s="314"/>
      <c r="H15" s="314"/>
      <c r="I15" s="314"/>
      <c r="J15" s="314"/>
      <c r="K15" s="314"/>
      <c r="L15" s="314"/>
      <c r="M15" s="314"/>
      <c r="N15" s="219"/>
      <c r="O15" s="219"/>
      <c r="P15" s="219"/>
      <c r="Q15" s="219"/>
      <c r="Y15" s="127"/>
      <c r="Z15" s="127"/>
    </row>
    <row r="16" spans="2:33" ht="40" customHeight="1" thickBot="1" x14ac:dyDescent="0.3">
      <c r="B16" s="180">
        <v>1</v>
      </c>
      <c r="C16" s="310" t="s">
        <v>238</v>
      </c>
      <c r="D16" s="310"/>
      <c r="E16" s="310"/>
      <c r="F16" s="350" t="s">
        <v>224</v>
      </c>
      <c r="G16" s="350"/>
      <c r="H16" s="340" t="s">
        <v>42</v>
      </c>
      <c r="I16" s="340"/>
      <c r="J16" s="340" t="s">
        <v>29</v>
      </c>
      <c r="K16" s="340"/>
      <c r="L16" s="340"/>
      <c r="M16" s="340"/>
      <c r="N16" s="340"/>
      <c r="O16" s="340"/>
      <c r="P16" s="340"/>
      <c r="Q16" s="340"/>
      <c r="S16" s="226">
        <f>IF(H16="Nicht anwendbar","n.a.",0)</f>
        <v>0</v>
      </c>
      <c r="T16" s="125">
        <f>IF(H16="Vollständig",1,0)</f>
        <v>0</v>
      </c>
      <c r="U16" s="125">
        <f>IF(H16="In den meisten Fällen",0.75,0)</f>
        <v>0</v>
      </c>
      <c r="V16" s="125">
        <f>IF(H16="In ein Paar Fällen",0.5,0)</f>
        <v>0</v>
      </c>
      <c r="W16" s="125">
        <f>IF(H16="Gar nicht",0,0)</f>
        <v>0</v>
      </c>
      <c r="X16" s="125">
        <f>IF(S16&gt;0,"n.a.",SUM(S16:W16))</f>
        <v>0</v>
      </c>
      <c r="Y16" s="128">
        <f>X16</f>
        <v>0</v>
      </c>
      <c r="Z16" s="128">
        <f>IF(Y16&lt;&gt;"n.a.",SUM(Y16,Y17,Y21,Y23,Y26),NA())</f>
        <v>0</v>
      </c>
      <c r="AG16" s="49" t="str">
        <f t="shared" ref="AG16:AG20" si="0">IF(X16&gt;0.5,"Umgesetzt","Nicht umgesetzt")</f>
        <v>Nicht umgesetzt</v>
      </c>
    </row>
    <row r="17" spans="2:33" ht="40" customHeight="1" thickBot="1" x14ac:dyDescent="0.3">
      <c r="B17" s="325">
        <v>2</v>
      </c>
      <c r="C17" s="423" t="s">
        <v>239</v>
      </c>
      <c r="D17" s="423"/>
      <c r="E17" s="423"/>
      <c r="F17" s="351" t="s">
        <v>235</v>
      </c>
      <c r="G17" s="351"/>
      <c r="H17" s="346" t="s">
        <v>42</v>
      </c>
      <c r="I17" s="346"/>
      <c r="J17" s="351" t="s">
        <v>890</v>
      </c>
      <c r="K17" s="352"/>
      <c r="L17" s="352"/>
      <c r="M17" s="352"/>
      <c r="N17" s="272"/>
      <c r="O17" s="272"/>
      <c r="P17" s="272"/>
      <c r="Q17" s="272"/>
      <c r="S17" s="125">
        <f t="shared" ref="S17:S28" si="1">IF(H17="Nicht anwendbar","n.a.",0)</f>
        <v>0</v>
      </c>
      <c r="T17" s="125">
        <f t="shared" ref="T17:T28" si="2">IF(H17="Vollständig",1,0)</f>
        <v>0</v>
      </c>
      <c r="U17" s="125">
        <f>IF(H17="In den meisten Fällen",0.75,0)</f>
        <v>0</v>
      </c>
      <c r="V17" s="125">
        <f>IF(H17="In ein Paar Fällen",0.5,0)</f>
        <v>0</v>
      </c>
      <c r="W17" s="125">
        <f>IF(H17="Gar nicht",0,0)</f>
        <v>0</v>
      </c>
      <c r="X17" s="125">
        <f>IFERROR(SUM(T17:W20)/COUNTIF(H17:H20,"&lt;&gt;Nicht anwendbar"),"n.a.")</f>
        <v>0</v>
      </c>
      <c r="Y17" s="128">
        <f>IF(X16=1,X17,0)</f>
        <v>0</v>
      </c>
      <c r="Z17" s="128"/>
      <c r="AG17" s="49" t="str">
        <f t="shared" si="0"/>
        <v>Nicht umgesetzt</v>
      </c>
    </row>
    <row r="18" spans="2:33" ht="40" customHeight="1" thickBot="1" x14ac:dyDescent="0.3">
      <c r="B18" s="323"/>
      <c r="C18" s="279" t="s">
        <v>234</v>
      </c>
      <c r="D18" s="279"/>
      <c r="E18" s="279"/>
      <c r="F18" s="288"/>
      <c r="G18" s="288"/>
      <c r="H18" s="304" t="s">
        <v>42</v>
      </c>
      <c r="I18" s="304"/>
      <c r="J18" s="286"/>
      <c r="K18" s="286"/>
      <c r="L18" s="286"/>
      <c r="M18" s="286"/>
      <c r="N18" s="339"/>
      <c r="O18" s="339"/>
      <c r="P18" s="339"/>
      <c r="Q18" s="339"/>
      <c r="S18" s="49">
        <f t="shared" si="1"/>
        <v>0</v>
      </c>
      <c r="T18" s="49">
        <f t="shared" si="2"/>
        <v>0</v>
      </c>
      <c r="U18" s="49">
        <f t="shared" ref="U18" si="3">IF(H18="In den meisten Fällen",0.75,0)</f>
        <v>0</v>
      </c>
      <c r="V18" s="49">
        <f t="shared" ref="V18" si="4">IF(H18="In ein Paar Fällen",0.5,0)</f>
        <v>0</v>
      </c>
      <c r="W18" s="49">
        <f t="shared" ref="W18" si="5">IF(H18="Gar nicht",0,0)</f>
        <v>0</v>
      </c>
      <c r="X18" s="49"/>
      <c r="Y18" s="129"/>
      <c r="Z18" s="129"/>
      <c r="AG18" s="49" t="str">
        <f t="shared" si="0"/>
        <v>Nicht umgesetzt</v>
      </c>
    </row>
    <row r="19" spans="2:33" ht="40" customHeight="1" thickBot="1" x14ac:dyDescent="0.3">
      <c r="B19" s="323"/>
      <c r="C19" s="423" t="s">
        <v>230</v>
      </c>
      <c r="D19" s="423"/>
      <c r="E19" s="423"/>
      <c r="F19" s="288"/>
      <c r="G19" s="288"/>
      <c r="H19" s="304" t="s">
        <v>42</v>
      </c>
      <c r="I19" s="304"/>
      <c r="J19" s="286"/>
      <c r="K19" s="286"/>
      <c r="L19" s="286"/>
      <c r="M19" s="286"/>
      <c r="N19" s="339"/>
      <c r="O19" s="339"/>
      <c r="P19" s="339"/>
      <c r="Q19" s="339"/>
      <c r="S19" s="49">
        <f t="shared" si="1"/>
        <v>0</v>
      </c>
      <c r="T19" s="49">
        <f t="shared" si="2"/>
        <v>0</v>
      </c>
      <c r="U19" s="49">
        <f t="shared" ref="U19:U28" si="6">IF(H19="In den meisten Fällen",0.75,0)</f>
        <v>0</v>
      </c>
      <c r="V19" s="49">
        <f t="shared" ref="V19:V28" si="7">IF(H19="In ein Paar Fällen",0.5,0)</f>
        <v>0</v>
      </c>
      <c r="W19" s="49">
        <f t="shared" ref="W19:W28" si="8">IF(H19="Gar nicht",0,0)</f>
        <v>0</v>
      </c>
      <c r="X19" s="49"/>
      <c r="Y19" s="129"/>
      <c r="Z19" s="129"/>
      <c r="AG19" s="49" t="str">
        <f t="shared" si="0"/>
        <v>Nicht umgesetzt</v>
      </c>
    </row>
    <row r="20" spans="2:33" ht="40" customHeight="1" thickBot="1" x14ac:dyDescent="0.3">
      <c r="B20" s="326"/>
      <c r="C20" s="423" t="s">
        <v>233</v>
      </c>
      <c r="D20" s="423"/>
      <c r="E20" s="423"/>
      <c r="F20" s="289"/>
      <c r="G20" s="289"/>
      <c r="H20" s="309" t="s">
        <v>42</v>
      </c>
      <c r="I20" s="309"/>
      <c r="J20" s="275"/>
      <c r="K20" s="275"/>
      <c r="L20" s="275"/>
      <c r="M20" s="275"/>
      <c r="N20" s="340"/>
      <c r="O20" s="340"/>
      <c r="P20" s="340"/>
      <c r="Q20" s="340"/>
      <c r="S20" s="126">
        <f t="shared" si="1"/>
        <v>0</v>
      </c>
      <c r="T20" s="126">
        <f t="shared" si="2"/>
        <v>0</v>
      </c>
      <c r="U20" s="126">
        <f t="shared" si="6"/>
        <v>0</v>
      </c>
      <c r="V20" s="126">
        <f t="shared" si="7"/>
        <v>0</v>
      </c>
      <c r="W20" s="126">
        <f t="shared" si="8"/>
        <v>0</v>
      </c>
      <c r="X20" s="126"/>
      <c r="Y20" s="130"/>
      <c r="Z20" s="130"/>
      <c r="AG20" s="49" t="str">
        <f t="shared" si="0"/>
        <v>Nicht umgesetzt</v>
      </c>
    </row>
    <row r="21" spans="2:33" ht="40" customHeight="1" thickBot="1" x14ac:dyDescent="0.3">
      <c r="B21" s="325">
        <v>3</v>
      </c>
      <c r="C21" s="344" t="s">
        <v>236</v>
      </c>
      <c r="D21" s="345"/>
      <c r="E21" s="345"/>
      <c r="F21" s="349" t="s">
        <v>237</v>
      </c>
      <c r="G21" s="337"/>
      <c r="H21" s="346" t="s">
        <v>42</v>
      </c>
      <c r="I21" s="346"/>
      <c r="J21" s="357" t="s">
        <v>891</v>
      </c>
      <c r="K21" s="358"/>
      <c r="L21" s="358"/>
      <c r="M21" s="358"/>
      <c r="N21" s="272"/>
      <c r="O21" s="272"/>
      <c r="P21" s="272"/>
      <c r="Q21" s="272"/>
      <c r="S21" s="125">
        <f t="shared" si="1"/>
        <v>0</v>
      </c>
      <c r="T21" s="125">
        <f t="shared" si="2"/>
        <v>0</v>
      </c>
      <c r="U21" s="125">
        <f t="shared" si="6"/>
        <v>0</v>
      </c>
      <c r="V21" s="125">
        <f t="shared" si="7"/>
        <v>0</v>
      </c>
      <c r="W21" s="125">
        <f t="shared" si="8"/>
        <v>0</v>
      </c>
      <c r="X21" s="125">
        <f>IFERROR(SUM(T21:W22)/COUNTIF(H21:H22,"&lt;&gt;Nicht anwendbar"),"n.a.")</f>
        <v>0</v>
      </c>
      <c r="Y21" s="128">
        <f>IF(Y17=1,X21,0)</f>
        <v>0</v>
      </c>
      <c r="Z21" s="128"/>
    </row>
    <row r="22" spans="2:33" ht="40" customHeight="1" thickBot="1" x14ac:dyDescent="0.3">
      <c r="B22" s="323"/>
      <c r="C22" s="424" t="s">
        <v>228</v>
      </c>
      <c r="D22" s="425"/>
      <c r="E22" s="425"/>
      <c r="F22" s="337"/>
      <c r="G22" s="337"/>
      <c r="H22" s="309" t="s">
        <v>42</v>
      </c>
      <c r="I22" s="309"/>
      <c r="J22" s="270"/>
      <c r="K22" s="270"/>
      <c r="L22" s="270"/>
      <c r="M22" s="270"/>
      <c r="N22" s="221"/>
      <c r="O22" s="221"/>
      <c r="P22" s="221"/>
      <c r="Q22" s="221"/>
      <c r="S22" s="49">
        <f t="shared" si="1"/>
        <v>0</v>
      </c>
      <c r="T22" s="49">
        <f t="shared" si="2"/>
        <v>0</v>
      </c>
      <c r="U22" s="49">
        <f t="shared" si="6"/>
        <v>0</v>
      </c>
      <c r="V22" s="49">
        <f t="shared" si="7"/>
        <v>0</v>
      </c>
      <c r="W22" s="49">
        <f t="shared" si="8"/>
        <v>0</v>
      </c>
      <c r="X22" s="49"/>
      <c r="Y22" s="129"/>
      <c r="Z22" s="129"/>
    </row>
    <row r="23" spans="2:33" ht="40" customHeight="1" thickBot="1" x14ac:dyDescent="0.3">
      <c r="B23" s="325">
        <v>4</v>
      </c>
      <c r="C23" s="343" t="s">
        <v>1177</v>
      </c>
      <c r="D23" s="343"/>
      <c r="E23" s="343"/>
      <c r="F23" s="361" t="s">
        <v>792</v>
      </c>
      <c r="G23" s="362"/>
      <c r="H23" s="346" t="s">
        <v>42</v>
      </c>
      <c r="I23" s="346"/>
      <c r="J23" s="351" t="s">
        <v>892</v>
      </c>
      <c r="K23" s="352"/>
      <c r="L23" s="352"/>
      <c r="M23" s="352"/>
      <c r="N23" s="272"/>
      <c r="O23" s="272"/>
      <c r="P23" s="272"/>
      <c r="Q23" s="272"/>
      <c r="S23" s="125">
        <f t="shared" si="1"/>
        <v>0</v>
      </c>
      <c r="T23" s="125">
        <f t="shared" si="2"/>
        <v>0</v>
      </c>
      <c r="U23" s="125">
        <f t="shared" si="6"/>
        <v>0</v>
      </c>
      <c r="V23" s="125">
        <f t="shared" si="7"/>
        <v>0</v>
      </c>
      <c r="W23" s="125">
        <f t="shared" si="8"/>
        <v>0</v>
      </c>
      <c r="X23" s="125">
        <f>IFERROR(SUM(T23:W25)/COUNTIF(H23:H25,"&lt;&gt;Nicht anwendbar"),"n.a.")</f>
        <v>0</v>
      </c>
      <c r="Y23" s="128">
        <f>IF(Y21=1,X23,0)</f>
        <v>0</v>
      </c>
      <c r="Z23" s="128"/>
    </row>
    <row r="24" spans="2:33" ht="40" customHeight="1" thickBot="1" x14ac:dyDescent="0.3">
      <c r="B24" s="323"/>
      <c r="C24" s="424" t="s">
        <v>240</v>
      </c>
      <c r="D24" s="425"/>
      <c r="E24" s="425"/>
      <c r="F24" s="350"/>
      <c r="G24" s="307"/>
      <c r="H24" s="304" t="s">
        <v>42</v>
      </c>
      <c r="I24" s="304"/>
      <c r="J24" s="286"/>
      <c r="K24" s="286"/>
      <c r="L24" s="286"/>
      <c r="M24" s="286"/>
      <c r="N24" s="339"/>
      <c r="O24" s="339"/>
      <c r="P24" s="339"/>
      <c r="Q24" s="339"/>
      <c r="S24" s="49">
        <f t="shared" si="1"/>
        <v>0</v>
      </c>
      <c r="T24" s="49">
        <f t="shared" si="2"/>
        <v>0</v>
      </c>
      <c r="U24" s="49">
        <f t="shared" ref="U24" si="9">IF(H24="In den meisten Fällen",0.75,0)</f>
        <v>0</v>
      </c>
      <c r="V24" s="49">
        <f t="shared" ref="V24" si="10">IF(H24="In ein Paar Fällen",0.5,0)</f>
        <v>0</v>
      </c>
      <c r="W24" s="49">
        <f t="shared" ref="W24" si="11">IF(H24="Gar nicht",0,0)</f>
        <v>0</v>
      </c>
      <c r="X24" s="49"/>
      <c r="Y24" s="129"/>
      <c r="Z24" s="129"/>
    </row>
    <row r="25" spans="2:33" ht="40" customHeight="1" thickBot="1" x14ac:dyDescent="0.3">
      <c r="B25" s="326"/>
      <c r="C25" s="350" t="s">
        <v>791</v>
      </c>
      <c r="D25" s="350"/>
      <c r="E25" s="350"/>
      <c r="F25" s="308"/>
      <c r="G25" s="308"/>
      <c r="H25" s="309" t="s">
        <v>42</v>
      </c>
      <c r="I25" s="309"/>
      <c r="J25" s="275"/>
      <c r="K25" s="275"/>
      <c r="L25" s="275"/>
      <c r="M25" s="275"/>
      <c r="N25" s="220"/>
      <c r="O25" s="220"/>
      <c r="P25" s="220"/>
      <c r="Q25" s="220"/>
      <c r="S25" s="126">
        <f t="shared" si="1"/>
        <v>0</v>
      </c>
      <c r="T25" s="126">
        <f t="shared" si="2"/>
        <v>0</v>
      </c>
      <c r="U25" s="126">
        <f t="shared" si="6"/>
        <v>0</v>
      </c>
      <c r="V25" s="126">
        <f t="shared" si="7"/>
        <v>0</v>
      </c>
      <c r="W25" s="126">
        <f t="shared" si="8"/>
        <v>0</v>
      </c>
      <c r="X25" s="126"/>
      <c r="Y25" s="130"/>
      <c r="Z25" s="130"/>
    </row>
    <row r="26" spans="2:33" ht="40" customHeight="1" thickBot="1" x14ac:dyDescent="0.3">
      <c r="B26" s="325">
        <v>5</v>
      </c>
      <c r="C26" s="343" t="s">
        <v>229</v>
      </c>
      <c r="D26" s="343"/>
      <c r="E26" s="343"/>
      <c r="F26" s="361" t="s">
        <v>241</v>
      </c>
      <c r="G26" s="362"/>
      <c r="H26" s="359" t="s">
        <v>42</v>
      </c>
      <c r="I26" s="359"/>
      <c r="J26" s="351" t="s">
        <v>893</v>
      </c>
      <c r="K26" s="352"/>
      <c r="L26" s="352"/>
      <c r="M26" s="352"/>
      <c r="N26" s="272"/>
      <c r="O26" s="272"/>
      <c r="P26" s="272"/>
      <c r="Q26" s="272"/>
      <c r="S26" s="125">
        <f t="shared" si="1"/>
        <v>0</v>
      </c>
      <c r="T26" s="125">
        <f t="shared" si="2"/>
        <v>0</v>
      </c>
      <c r="U26" s="125">
        <f t="shared" si="6"/>
        <v>0</v>
      </c>
      <c r="V26" s="125">
        <f t="shared" si="7"/>
        <v>0</v>
      </c>
      <c r="W26" s="125">
        <f t="shared" si="8"/>
        <v>0</v>
      </c>
      <c r="X26" s="125">
        <f>IFERROR(SUM(T26:W28)/COUNTIF(H26:H28,"&lt;&gt;Nicht anwendbar"),"n.a.")</f>
        <v>0</v>
      </c>
      <c r="Y26" s="128">
        <f>IF(Y23=1,X26,0)</f>
        <v>0</v>
      </c>
      <c r="Z26" s="128"/>
    </row>
    <row r="27" spans="2:33" ht="40" customHeight="1" thickBot="1" x14ac:dyDescent="0.3">
      <c r="B27" s="323"/>
      <c r="C27" s="347" t="s">
        <v>232</v>
      </c>
      <c r="D27" s="347"/>
      <c r="E27" s="347"/>
      <c r="F27" s="350"/>
      <c r="G27" s="307"/>
      <c r="H27" s="304" t="s">
        <v>42</v>
      </c>
      <c r="I27" s="304"/>
      <c r="J27" s="286"/>
      <c r="K27" s="286"/>
      <c r="L27" s="286"/>
      <c r="M27" s="286"/>
      <c r="N27" s="339"/>
      <c r="O27" s="339"/>
      <c r="P27" s="339"/>
      <c r="Q27" s="339"/>
      <c r="S27" s="49">
        <f t="shared" si="1"/>
        <v>0</v>
      </c>
      <c r="T27" s="49">
        <f t="shared" si="2"/>
        <v>0</v>
      </c>
      <c r="U27" s="49">
        <f t="shared" ref="U27" si="12">IF(H27="In den meisten Fällen",0.75,0)</f>
        <v>0</v>
      </c>
      <c r="V27" s="49">
        <f t="shared" ref="V27" si="13">IF(H27="In ein Paar Fällen",0.5,0)</f>
        <v>0</v>
      </c>
      <c r="W27" s="49">
        <f t="shared" ref="W27" si="14">IF(H27="Gar nicht",0,0)</f>
        <v>0</v>
      </c>
      <c r="X27" s="49"/>
      <c r="Y27" s="129"/>
      <c r="Z27" s="129"/>
    </row>
    <row r="28" spans="2:33" ht="40" customHeight="1" thickBot="1" x14ac:dyDescent="0.3">
      <c r="B28" s="326"/>
      <c r="C28" s="360" t="s">
        <v>231</v>
      </c>
      <c r="D28" s="360"/>
      <c r="E28" s="360"/>
      <c r="F28" s="308"/>
      <c r="G28" s="308"/>
      <c r="H28" s="309" t="s">
        <v>42</v>
      </c>
      <c r="I28" s="309"/>
      <c r="J28" s="275"/>
      <c r="K28" s="275"/>
      <c r="L28" s="275"/>
      <c r="M28" s="275"/>
      <c r="N28" s="220"/>
      <c r="O28" s="220"/>
      <c r="P28" s="220"/>
      <c r="Q28" s="220"/>
      <c r="S28" s="126">
        <f t="shared" si="1"/>
        <v>0</v>
      </c>
      <c r="T28" s="126">
        <f t="shared" si="2"/>
        <v>0</v>
      </c>
      <c r="U28" s="126">
        <f t="shared" si="6"/>
        <v>0</v>
      </c>
      <c r="V28" s="126">
        <f t="shared" si="7"/>
        <v>0</v>
      </c>
      <c r="W28" s="126">
        <f t="shared" si="8"/>
        <v>0</v>
      </c>
      <c r="X28" s="126"/>
      <c r="Y28" s="130"/>
      <c r="Z28" s="130"/>
    </row>
  </sheetData>
  <sheetProtection formatCells="0"/>
  <protectedRanges>
    <protectedRange sqref="N29:Q32" name="Bereich1"/>
    <protectedRange sqref="N17:Q17 N21:Q21 N23:Q23 N26:Q26" name="Bereich1_1"/>
  </protectedRanges>
  <mergeCells count="62">
    <mergeCell ref="J21:M22"/>
    <mergeCell ref="J23:M25"/>
    <mergeCell ref="J26:M28"/>
    <mergeCell ref="H26:I26"/>
    <mergeCell ref="C28:E28"/>
    <mergeCell ref="H28:I28"/>
    <mergeCell ref="C23:E23"/>
    <mergeCell ref="H23:I23"/>
    <mergeCell ref="C25:E25"/>
    <mergeCell ref="H25:I25"/>
    <mergeCell ref="C24:E24"/>
    <mergeCell ref="H27:I27"/>
    <mergeCell ref="C27:E27"/>
    <mergeCell ref="F23:G25"/>
    <mergeCell ref="F26:G28"/>
    <mergeCell ref="H24:I24"/>
    <mergeCell ref="H20:I20"/>
    <mergeCell ref="J17:M20"/>
    <mergeCell ref="C10:M10"/>
    <mergeCell ref="C14:E14"/>
    <mergeCell ref="F14:G14"/>
    <mergeCell ref="H14:I14"/>
    <mergeCell ref="J14:M14"/>
    <mergeCell ref="B4:M4"/>
    <mergeCell ref="C6:G6"/>
    <mergeCell ref="C7:M7"/>
    <mergeCell ref="C8:M8"/>
    <mergeCell ref="C9:M9"/>
    <mergeCell ref="H21:I21"/>
    <mergeCell ref="C22:E22"/>
    <mergeCell ref="H22:I22"/>
    <mergeCell ref="F21:G22"/>
    <mergeCell ref="B15:M15"/>
    <mergeCell ref="C16:E16"/>
    <mergeCell ref="F16:G16"/>
    <mergeCell ref="H16:I16"/>
    <mergeCell ref="J16:M16"/>
    <mergeCell ref="C17:E17"/>
    <mergeCell ref="H17:I17"/>
    <mergeCell ref="F17:G20"/>
    <mergeCell ref="C18:E18"/>
    <mergeCell ref="H18:I18"/>
    <mergeCell ref="C19:E19"/>
    <mergeCell ref="H19:I19"/>
    <mergeCell ref="B26:B28"/>
    <mergeCell ref="B17:B20"/>
    <mergeCell ref="B21:B22"/>
    <mergeCell ref="B23:B25"/>
    <mergeCell ref="C20:E20"/>
    <mergeCell ref="C26:E26"/>
    <mergeCell ref="C21:E21"/>
    <mergeCell ref="N14:Q14"/>
    <mergeCell ref="N16:Q16"/>
    <mergeCell ref="N17:Q17"/>
    <mergeCell ref="N18:Q18"/>
    <mergeCell ref="N19:Q19"/>
    <mergeCell ref="N26:Q26"/>
    <mergeCell ref="N27:Q27"/>
    <mergeCell ref="N20:Q20"/>
    <mergeCell ref="N21:Q21"/>
    <mergeCell ref="N23:Q23"/>
    <mergeCell ref="N24:Q24"/>
  </mergeCells>
  <conditionalFormatting sqref="H16:I28">
    <cfRule type="containsText" dxfId="65" priority="1" operator="containsText" text="Bitte auswählen">
      <formula>NOT(ISERROR(SEARCH("Bitte auswählen",H16)))</formula>
    </cfRule>
  </conditionalFormatting>
  <dataValidations disablePrompts="1" xWindow="747" yWindow="367" count="2">
    <dataValidation allowBlank="1" showInputMessage="1" showErrorMessage="1" promptTitle="[+] Klicken" prompt="Hier können Sie sich erweiterte Informationen zu dem Prozess anzeigen lassen." sqref="A11" xr:uid="{00000000-0002-0000-0600-000000000000}"/>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2B1DD6DB-1696-42DF-849C-10D724890F5A}"/>
  </dataValidations>
  <pageMargins left="0.23622047244094491" right="0.23622047244094491" top="0.74803149606299213" bottom="0.74803149606299213" header="0.31496062992125984" footer="0.31496062992125984"/>
  <pageSetup paperSize="9" scale="60" orientation="landscape" horizontalDpi="4294967293"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disablePrompts="1" xWindow="747" yWindow="367" count="1">
        <x14:dataValidation type="list" allowBlank="1" showInputMessage="1" showErrorMessage="1" xr:uid="{00000000-0002-0000-0600-000001000000}">
          <x14:formula1>
            <xm:f>Data!$I$3:$I$8</xm:f>
          </x14:formula1>
          <xm:sqref>H16:I28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33399"/>
    <pageSetUpPr fitToPage="1"/>
  </sheetPr>
  <dimension ref="B4:AG30"/>
  <sheetViews>
    <sheetView showGridLines="0" zoomScale="90" zoomScaleNormal="90" zoomScalePageLayoutView="85" workbookViewId="0">
      <selection activeCell="H17" sqref="H17:I17"/>
    </sheetView>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32.26953125" style="48" hidden="1" customWidth="1" outlineLevel="1"/>
    <col min="7" max="7" width="53.81640625" style="48" hidden="1" customWidth="1" outlineLevel="1"/>
    <col min="8" max="8" width="11.453125" style="48" collapsed="1"/>
    <col min="9" max="10" width="11.453125" style="48"/>
    <col min="11" max="11" width="13.26953125" style="48" customWidth="1"/>
    <col min="12" max="12" width="11.453125" style="48"/>
    <col min="13" max="13" width="33.1796875" style="48" customWidth="1"/>
    <col min="14" max="14" width="11.453125" style="48"/>
    <col min="15" max="15" width="13.26953125" style="48" customWidth="1"/>
    <col min="16" max="16" width="11.453125" style="48"/>
    <col min="17" max="17" width="36.1796875" style="48" customWidth="1"/>
    <col min="18" max="18" width="11.453125" style="49"/>
    <col min="19" max="24" width="11.453125" style="48" customWidth="1"/>
    <col min="25" max="25" width="14" style="48" customWidth="1"/>
    <col min="26" max="32" width="11.453125" style="48" customWidth="1"/>
    <col min="33" max="33" width="11.453125" style="48" hidden="1" customWidth="1"/>
    <col min="34" max="16384" width="11.453125" style="48"/>
  </cols>
  <sheetData>
    <row r="4" spans="2:33" ht="14" x14ac:dyDescent="0.3">
      <c r="B4" s="290" t="s">
        <v>39</v>
      </c>
      <c r="C4" s="290"/>
      <c r="D4" s="290"/>
      <c r="E4" s="290"/>
      <c r="F4" s="290"/>
      <c r="G4" s="290"/>
      <c r="H4" s="290"/>
      <c r="I4" s="290"/>
      <c r="J4" s="290"/>
      <c r="K4" s="290"/>
      <c r="L4" s="290"/>
      <c r="M4" s="290"/>
      <c r="N4" s="216"/>
      <c r="O4" s="216"/>
      <c r="P4" s="216"/>
      <c r="Q4" s="216"/>
    </row>
    <row r="5" spans="2:33" ht="9" customHeight="1" x14ac:dyDescent="0.25"/>
    <row r="6" spans="2:33" ht="32.25" customHeight="1" thickBot="1" x14ac:dyDescent="0.3">
      <c r="B6" s="162" t="s">
        <v>89</v>
      </c>
      <c r="C6" s="293" t="s">
        <v>155</v>
      </c>
      <c r="D6" s="293"/>
      <c r="E6" s="293"/>
      <c r="F6" s="293"/>
      <c r="G6" s="293"/>
      <c r="H6" s="53"/>
      <c r="I6" s="53"/>
      <c r="J6" s="53"/>
      <c r="K6" s="53" t="s">
        <v>36</v>
      </c>
      <c r="L6" s="55">
        <f>ROUNDDOWN(Z16/0.25,0)*0.25</f>
        <v>0</v>
      </c>
      <c r="M6" s="54" t="str">
        <f>IF(L6&lt;1,"Unvollständig",IF(L6&lt;2,"Initial",IF(L6&lt;3,"Gemanagt",IF(L6&lt;4,"Definiert",IF(L6&lt;5,"Quantitativ gemanagt",IF(L6&lt;6,"Optimiert","Ausstehend"))))))</f>
        <v>Unvollständig</v>
      </c>
      <c r="N6" s="53"/>
      <c r="O6" s="53"/>
      <c r="P6" s="55"/>
      <c r="Q6" s="54"/>
    </row>
    <row r="7" spans="2:33" ht="35.25" hidden="1" customHeight="1" outlineLevel="1" x14ac:dyDescent="0.25">
      <c r="B7" s="76" t="s">
        <v>211</v>
      </c>
      <c r="C7" s="294" t="s">
        <v>242</v>
      </c>
      <c r="D7" s="295"/>
      <c r="E7" s="295"/>
      <c r="F7" s="295"/>
      <c r="G7" s="295"/>
      <c r="H7" s="295"/>
      <c r="I7" s="295"/>
      <c r="J7" s="295"/>
      <c r="K7" s="295"/>
      <c r="L7" s="295"/>
      <c r="M7" s="295"/>
      <c r="N7" s="218"/>
      <c r="O7" s="218"/>
      <c r="P7" s="218"/>
      <c r="Q7" s="218"/>
    </row>
    <row r="8" spans="2:33" ht="81.75" hidden="1" customHeight="1" outlineLevel="1" x14ac:dyDescent="0.25">
      <c r="B8" s="51" t="s">
        <v>212</v>
      </c>
      <c r="C8" s="297" t="s">
        <v>257</v>
      </c>
      <c r="D8" s="298"/>
      <c r="E8" s="298"/>
      <c r="F8" s="298"/>
      <c r="G8" s="298"/>
      <c r="H8" s="298"/>
      <c r="I8" s="298"/>
      <c r="J8" s="298"/>
      <c r="K8" s="298"/>
      <c r="L8" s="298"/>
      <c r="M8" s="298"/>
      <c r="N8" s="217"/>
      <c r="O8" s="217"/>
      <c r="P8" s="217"/>
      <c r="Q8" s="217"/>
    </row>
    <row r="9" spans="2:33" ht="75" hidden="1" customHeight="1" outlineLevel="1" x14ac:dyDescent="0.25">
      <c r="B9" s="51" t="s">
        <v>30</v>
      </c>
      <c r="C9" s="300" t="s">
        <v>258</v>
      </c>
      <c r="D9" s="301"/>
      <c r="E9" s="301"/>
      <c r="F9" s="301"/>
      <c r="G9" s="301"/>
      <c r="H9" s="301"/>
      <c r="I9" s="301"/>
      <c r="J9" s="301"/>
      <c r="K9" s="301"/>
      <c r="L9" s="301"/>
      <c r="M9" s="301"/>
      <c r="N9" s="218"/>
      <c r="O9" s="218"/>
      <c r="P9" s="218"/>
      <c r="Q9" s="218"/>
    </row>
    <row r="10" spans="2:33" ht="65.25" hidden="1" customHeight="1" outlineLevel="1" x14ac:dyDescent="0.25">
      <c r="B10" s="51" t="s">
        <v>31</v>
      </c>
      <c r="C10" s="300" t="s">
        <v>259</v>
      </c>
      <c r="D10" s="301"/>
      <c r="E10" s="301"/>
      <c r="F10" s="301"/>
      <c r="G10" s="301"/>
      <c r="H10" s="301"/>
      <c r="I10" s="301"/>
      <c r="J10" s="301"/>
      <c r="K10" s="301"/>
      <c r="L10" s="301"/>
      <c r="M10" s="301"/>
      <c r="N10" s="218"/>
      <c r="O10" s="218"/>
      <c r="P10" s="218"/>
      <c r="Q10" s="218"/>
    </row>
    <row r="11" spans="2:33" collapsed="1" x14ac:dyDescent="0.25"/>
    <row r="12" spans="2:33" ht="13" x14ac:dyDescent="0.3">
      <c r="B12" s="50" t="s">
        <v>33</v>
      </c>
      <c r="C12" s="49"/>
    </row>
    <row r="13" spans="2:33" ht="6.75" customHeight="1" x14ac:dyDescent="0.25"/>
    <row r="14" spans="2:33" ht="21.75" customHeight="1" x14ac:dyDescent="0.25">
      <c r="B14" s="52" t="s">
        <v>34</v>
      </c>
      <c r="C14" s="353" t="s">
        <v>37</v>
      </c>
      <c r="D14" s="354"/>
      <c r="E14" s="355"/>
      <c r="F14" s="341" t="s">
        <v>67</v>
      </c>
      <c r="G14" s="356"/>
      <c r="H14" s="341" t="s">
        <v>3</v>
      </c>
      <c r="I14" s="356"/>
      <c r="J14" s="341" t="s">
        <v>886</v>
      </c>
      <c r="K14" s="342"/>
      <c r="L14" s="342"/>
      <c r="M14" s="342"/>
      <c r="N14" s="341" t="s">
        <v>38</v>
      </c>
      <c r="O14" s="342"/>
      <c r="P14" s="342"/>
      <c r="Q14" s="342"/>
      <c r="T14" s="48" t="s">
        <v>35</v>
      </c>
      <c r="Y14" s="48" t="s">
        <v>45</v>
      </c>
      <c r="Z14" s="48" t="s">
        <v>44</v>
      </c>
    </row>
    <row r="15" spans="2:33" ht="1.5" customHeight="1" x14ac:dyDescent="0.3">
      <c r="B15" s="314"/>
      <c r="C15" s="314"/>
      <c r="D15" s="314"/>
      <c r="E15" s="314"/>
      <c r="F15" s="314"/>
      <c r="G15" s="314"/>
      <c r="H15" s="314"/>
      <c r="I15" s="314"/>
      <c r="J15" s="314"/>
      <c r="K15" s="314"/>
      <c r="L15" s="314"/>
      <c r="M15" s="314"/>
      <c r="N15" s="219"/>
      <c r="O15" s="219"/>
      <c r="P15" s="219"/>
      <c r="Q15" s="219"/>
    </row>
    <row r="16" spans="2:33" ht="40" customHeight="1" thickBot="1" x14ac:dyDescent="0.3">
      <c r="B16" s="180">
        <v>1</v>
      </c>
      <c r="C16" s="310" t="s">
        <v>243</v>
      </c>
      <c r="D16" s="310"/>
      <c r="E16" s="310"/>
      <c r="F16" s="310" t="s">
        <v>244</v>
      </c>
      <c r="G16" s="310"/>
      <c r="H16" s="340" t="s">
        <v>42</v>
      </c>
      <c r="I16" s="340"/>
      <c r="J16" s="340" t="s">
        <v>29</v>
      </c>
      <c r="K16" s="340"/>
      <c r="L16" s="340"/>
      <c r="M16" s="340"/>
      <c r="N16" s="340"/>
      <c r="O16" s="340"/>
      <c r="P16" s="340"/>
      <c r="Q16" s="340"/>
      <c r="S16" s="224">
        <f>IF(H16="Nicht anwendbar","n.a.",0)</f>
        <v>0</v>
      </c>
      <c r="T16" s="125">
        <f>IF(H16="Vollständig",1,0)</f>
        <v>0</v>
      </c>
      <c r="U16" s="224">
        <f>IF(H16="In den meisten Fällen",0.75,0)</f>
        <v>0</v>
      </c>
      <c r="V16" s="224">
        <f>IF(H16="In ein Paar Fällen",0.5,0)</f>
        <v>0</v>
      </c>
      <c r="W16" s="224">
        <f>IF(H16="Gar nicht",0,0)</f>
        <v>0</v>
      </c>
      <c r="X16" s="143">
        <f>IF(S16&gt;0,"n.a.",SUM(S16:W16))</f>
        <v>0</v>
      </c>
      <c r="Y16" s="48">
        <f>X16</f>
        <v>0</v>
      </c>
      <c r="Z16" s="48">
        <f>IF(Y16&lt;&gt;"n.a.",SUM(Y16,Y17,Y21,Y25,Y29),NA())</f>
        <v>0</v>
      </c>
      <c r="AG16" s="49" t="str">
        <f t="shared" ref="AG16:AG20" si="0">IF(X16&gt;0.5,"Umgesetzt","Nicht umgesetzt")</f>
        <v>Nicht umgesetzt</v>
      </c>
    </row>
    <row r="17" spans="2:33" ht="40" customHeight="1" thickBot="1" x14ac:dyDescent="0.3">
      <c r="B17" s="325">
        <v>2</v>
      </c>
      <c r="C17" s="361" t="s">
        <v>793</v>
      </c>
      <c r="D17" s="361"/>
      <c r="E17" s="361"/>
      <c r="F17" s="361" t="s">
        <v>794</v>
      </c>
      <c r="G17" s="362"/>
      <c r="H17" s="365" t="s">
        <v>42</v>
      </c>
      <c r="I17" s="365"/>
      <c r="J17" s="351" t="s">
        <v>928</v>
      </c>
      <c r="K17" s="352"/>
      <c r="L17" s="352"/>
      <c r="M17" s="352"/>
      <c r="N17" s="272"/>
      <c r="O17" s="272"/>
      <c r="P17" s="272"/>
      <c r="Q17" s="272"/>
      <c r="S17" s="49">
        <f t="shared" ref="S17:S30" si="1">IF(H17="Nicht anwendbar","n.a.",0)</f>
        <v>0</v>
      </c>
      <c r="T17" s="143">
        <f t="shared" ref="T17:T30" si="2">IF(H17="Vollständig",1,0)</f>
        <v>0</v>
      </c>
      <c r="U17" s="49">
        <f>IF(H17="In den meisten Fällen",0.75,0)</f>
        <v>0</v>
      </c>
      <c r="V17" s="49">
        <f>IF(H17="In ein Paar Fällen",0.5,0)</f>
        <v>0</v>
      </c>
      <c r="W17" s="49">
        <f>IF(H17="Gar nicht",0,0)</f>
        <v>0</v>
      </c>
      <c r="X17" s="143">
        <f>IFERROR(SUM(T17:W20)/COUNTIF(H17:H20,"&lt;&gt;Nicht anwendbar"),"n.a.")</f>
        <v>0</v>
      </c>
      <c r="Y17" s="48">
        <f>IF(X16=1,X17,0)</f>
        <v>0</v>
      </c>
      <c r="AG17" s="49" t="str">
        <f t="shared" si="0"/>
        <v>Nicht umgesetzt</v>
      </c>
    </row>
    <row r="18" spans="2:33" ht="40" customHeight="1" thickBot="1" x14ac:dyDescent="0.3">
      <c r="B18" s="323"/>
      <c r="C18" s="367" t="s">
        <v>1164</v>
      </c>
      <c r="D18" s="367"/>
      <c r="E18" s="367"/>
      <c r="F18" s="307"/>
      <c r="G18" s="307"/>
      <c r="H18" s="366" t="s">
        <v>42</v>
      </c>
      <c r="I18" s="366"/>
      <c r="J18" s="286"/>
      <c r="K18" s="286"/>
      <c r="L18" s="286"/>
      <c r="M18" s="286"/>
      <c r="N18" s="339"/>
      <c r="O18" s="339"/>
      <c r="P18" s="339"/>
      <c r="Q18" s="339"/>
      <c r="S18" s="49">
        <f t="shared" si="1"/>
        <v>0</v>
      </c>
      <c r="T18" s="49">
        <f t="shared" si="2"/>
        <v>0</v>
      </c>
      <c r="U18" s="49">
        <f t="shared" ref="U18:U30" si="3">IF(H18="In den meisten Fällen",0.75,0)</f>
        <v>0</v>
      </c>
      <c r="V18" s="49">
        <f t="shared" ref="V18:V30" si="4">IF(H18="In ein Paar Fällen",0.5,0)</f>
        <v>0</v>
      </c>
      <c r="W18" s="49">
        <f t="shared" ref="W18:W30" si="5">IF(H18="Gar nicht",0,0)</f>
        <v>0</v>
      </c>
      <c r="X18" s="49"/>
      <c r="AG18" s="49" t="str">
        <f t="shared" si="0"/>
        <v>Nicht umgesetzt</v>
      </c>
    </row>
    <row r="19" spans="2:33" ht="40" customHeight="1" thickBot="1" x14ac:dyDescent="0.3">
      <c r="B19" s="323"/>
      <c r="C19" s="330" t="s">
        <v>245</v>
      </c>
      <c r="D19" s="330"/>
      <c r="E19" s="330"/>
      <c r="F19" s="307"/>
      <c r="G19" s="307"/>
      <c r="H19" s="366" t="s">
        <v>42</v>
      </c>
      <c r="I19" s="366"/>
      <c r="J19" s="286"/>
      <c r="K19" s="286"/>
      <c r="L19" s="286"/>
      <c r="M19" s="286"/>
      <c r="N19" s="339"/>
      <c r="O19" s="339"/>
      <c r="P19" s="339"/>
      <c r="Q19" s="339"/>
      <c r="S19" s="49">
        <f t="shared" si="1"/>
        <v>0</v>
      </c>
      <c r="T19" s="49">
        <f t="shared" si="2"/>
        <v>0</v>
      </c>
      <c r="U19" s="49">
        <f t="shared" si="3"/>
        <v>0</v>
      </c>
      <c r="V19" s="49">
        <f t="shared" si="4"/>
        <v>0</v>
      </c>
      <c r="W19" s="49">
        <f t="shared" si="5"/>
        <v>0</v>
      </c>
      <c r="X19" s="49"/>
      <c r="AG19" s="49" t="str">
        <f t="shared" si="0"/>
        <v>Nicht umgesetzt</v>
      </c>
    </row>
    <row r="20" spans="2:33" ht="40" customHeight="1" thickBot="1" x14ac:dyDescent="0.3">
      <c r="B20" s="323"/>
      <c r="C20" s="368" t="s">
        <v>253</v>
      </c>
      <c r="D20" s="369"/>
      <c r="E20" s="369"/>
      <c r="F20" s="307"/>
      <c r="G20" s="307"/>
      <c r="H20" s="340" t="s">
        <v>42</v>
      </c>
      <c r="I20" s="340"/>
      <c r="J20" s="275"/>
      <c r="K20" s="275"/>
      <c r="L20" s="275"/>
      <c r="M20" s="275"/>
      <c r="N20" s="340"/>
      <c r="O20" s="340"/>
      <c r="P20" s="340"/>
      <c r="Q20" s="340"/>
      <c r="S20" s="75">
        <f t="shared" si="1"/>
        <v>0</v>
      </c>
      <c r="T20" s="75">
        <f t="shared" si="2"/>
        <v>0</v>
      </c>
      <c r="U20" s="75">
        <f t="shared" si="3"/>
        <v>0</v>
      </c>
      <c r="V20" s="75">
        <f t="shared" si="4"/>
        <v>0</v>
      </c>
      <c r="W20" s="75">
        <f t="shared" si="5"/>
        <v>0</v>
      </c>
      <c r="X20" s="75"/>
      <c r="AG20" s="49" t="str">
        <f t="shared" si="0"/>
        <v>Nicht umgesetzt</v>
      </c>
    </row>
    <row r="21" spans="2:33" ht="40" customHeight="1" thickBot="1" x14ac:dyDescent="0.3">
      <c r="B21" s="325">
        <v>3</v>
      </c>
      <c r="C21" s="363" t="s">
        <v>246</v>
      </c>
      <c r="D21" s="364"/>
      <c r="E21" s="364"/>
      <c r="F21" s="361" t="s">
        <v>795</v>
      </c>
      <c r="G21" s="362"/>
      <c r="H21" s="365" t="s">
        <v>42</v>
      </c>
      <c r="I21" s="365"/>
      <c r="J21" s="357" t="s">
        <v>895</v>
      </c>
      <c r="K21" s="358"/>
      <c r="L21" s="358"/>
      <c r="M21" s="358"/>
      <c r="N21" s="272"/>
      <c r="O21" s="272"/>
      <c r="P21" s="272"/>
      <c r="Q21" s="272"/>
      <c r="S21" s="48">
        <f t="shared" si="1"/>
        <v>0</v>
      </c>
      <c r="T21" s="49">
        <f t="shared" si="2"/>
        <v>0</v>
      </c>
      <c r="U21" s="49">
        <f t="shared" si="3"/>
        <v>0</v>
      </c>
      <c r="V21" s="49">
        <f t="shared" si="4"/>
        <v>0</v>
      </c>
      <c r="W21" s="49">
        <f t="shared" si="5"/>
        <v>0</v>
      </c>
      <c r="X21" s="143">
        <f>IFERROR(SUM(T21:W24)/COUNTIF(H21:H24,"&lt;&gt;Nicht anwendbar"),"n.a.")</f>
        <v>0</v>
      </c>
      <c r="Y21" s="48">
        <f>IF(Y17=1,X21,0)</f>
        <v>0</v>
      </c>
    </row>
    <row r="22" spans="2:33" ht="40" customHeight="1" thickBot="1" x14ac:dyDescent="0.3">
      <c r="B22" s="323"/>
      <c r="C22" s="347" t="s">
        <v>250</v>
      </c>
      <c r="D22" s="348"/>
      <c r="E22" s="348"/>
      <c r="F22" s="307"/>
      <c r="G22" s="307"/>
      <c r="H22" s="366" t="s">
        <v>42</v>
      </c>
      <c r="I22" s="366"/>
      <c r="J22" s="282"/>
      <c r="K22" s="282"/>
      <c r="L22" s="282"/>
      <c r="M22" s="282"/>
      <c r="N22" s="339"/>
      <c r="O22" s="339"/>
      <c r="P22" s="339"/>
      <c r="Q22" s="339"/>
      <c r="S22" s="48">
        <f t="shared" si="1"/>
        <v>0</v>
      </c>
      <c r="T22" s="49">
        <f t="shared" si="2"/>
        <v>0</v>
      </c>
      <c r="U22" s="49">
        <f t="shared" si="3"/>
        <v>0</v>
      </c>
      <c r="V22" s="49">
        <f t="shared" si="4"/>
        <v>0</v>
      </c>
      <c r="W22" s="49">
        <f t="shared" si="5"/>
        <v>0</v>
      </c>
    </row>
    <row r="23" spans="2:33" ht="40" customHeight="1" thickBot="1" x14ac:dyDescent="0.3">
      <c r="B23" s="323"/>
      <c r="C23" s="347" t="s">
        <v>796</v>
      </c>
      <c r="D23" s="348"/>
      <c r="E23" s="348"/>
      <c r="F23" s="307"/>
      <c r="G23" s="307"/>
      <c r="H23" s="366" t="s">
        <v>42</v>
      </c>
      <c r="I23" s="366"/>
      <c r="J23" s="282"/>
      <c r="K23" s="282"/>
      <c r="L23" s="282"/>
      <c r="M23" s="282"/>
      <c r="N23" s="339"/>
      <c r="O23" s="339"/>
      <c r="P23" s="339"/>
      <c r="Q23" s="339"/>
      <c r="S23" s="48">
        <f t="shared" si="1"/>
        <v>0</v>
      </c>
      <c r="T23" s="49">
        <f t="shared" si="2"/>
        <v>0</v>
      </c>
      <c r="U23" s="49">
        <f t="shared" si="3"/>
        <v>0</v>
      </c>
      <c r="V23" s="49">
        <f t="shared" si="4"/>
        <v>0</v>
      </c>
      <c r="W23" s="49">
        <f t="shared" si="5"/>
        <v>0</v>
      </c>
    </row>
    <row r="24" spans="2:33" ht="40" customHeight="1" thickBot="1" x14ac:dyDescent="0.3">
      <c r="B24" s="323"/>
      <c r="C24" s="347" t="s">
        <v>247</v>
      </c>
      <c r="D24" s="348"/>
      <c r="E24" s="348"/>
      <c r="F24" s="307"/>
      <c r="G24" s="307"/>
      <c r="H24" s="340" t="s">
        <v>42</v>
      </c>
      <c r="I24" s="340"/>
      <c r="J24" s="270"/>
      <c r="K24" s="270"/>
      <c r="L24" s="270"/>
      <c r="M24" s="270"/>
      <c r="N24" s="339"/>
      <c r="O24" s="339"/>
      <c r="P24" s="339"/>
      <c r="Q24" s="339"/>
      <c r="S24" s="75">
        <f t="shared" si="1"/>
        <v>0</v>
      </c>
      <c r="T24" s="75">
        <f t="shared" si="2"/>
        <v>0</v>
      </c>
      <c r="U24" s="75">
        <f t="shared" si="3"/>
        <v>0</v>
      </c>
      <c r="V24" s="75">
        <f t="shared" si="4"/>
        <v>0</v>
      </c>
      <c r="W24" s="75">
        <f t="shared" si="5"/>
        <v>0</v>
      </c>
      <c r="X24" s="75"/>
    </row>
    <row r="25" spans="2:33" ht="40" customHeight="1" thickBot="1" x14ac:dyDescent="0.3">
      <c r="B25" s="325">
        <v>4</v>
      </c>
      <c r="C25" s="343" t="s">
        <v>249</v>
      </c>
      <c r="D25" s="343"/>
      <c r="E25" s="343"/>
      <c r="F25" s="351" t="s">
        <v>255</v>
      </c>
      <c r="G25" s="351"/>
      <c r="H25" s="365" t="s">
        <v>42</v>
      </c>
      <c r="I25" s="365"/>
      <c r="J25" s="351" t="s">
        <v>896</v>
      </c>
      <c r="K25" s="352"/>
      <c r="L25" s="352"/>
      <c r="M25" s="352"/>
      <c r="N25" s="272"/>
      <c r="O25" s="272"/>
      <c r="P25" s="272"/>
      <c r="Q25" s="272"/>
      <c r="S25" s="48">
        <f t="shared" si="1"/>
        <v>0</v>
      </c>
      <c r="T25" s="49">
        <f t="shared" si="2"/>
        <v>0</v>
      </c>
      <c r="U25" s="49">
        <f t="shared" si="3"/>
        <v>0</v>
      </c>
      <c r="V25" s="49">
        <f t="shared" si="4"/>
        <v>0</v>
      </c>
      <c r="W25" s="49">
        <f t="shared" si="5"/>
        <v>0</v>
      </c>
      <c r="X25" s="143">
        <f>IFERROR(SUM(T25:W28)/COUNTIF(H25:H28,"&lt;&gt;Nicht anwendbar"),"n.a.")</f>
        <v>0</v>
      </c>
      <c r="Y25" s="48">
        <f>IF(Y21=1,X25,0)</f>
        <v>0</v>
      </c>
    </row>
    <row r="26" spans="2:33" ht="40" customHeight="1" thickBot="1" x14ac:dyDescent="0.3">
      <c r="B26" s="323"/>
      <c r="C26" s="279" t="s">
        <v>929</v>
      </c>
      <c r="D26" s="279"/>
      <c r="E26" s="279"/>
      <c r="F26" s="288"/>
      <c r="G26" s="288"/>
      <c r="H26" s="366" t="s">
        <v>42</v>
      </c>
      <c r="I26" s="366"/>
      <c r="J26" s="286"/>
      <c r="K26" s="286"/>
      <c r="L26" s="286"/>
      <c r="M26" s="286"/>
      <c r="N26" s="339"/>
      <c r="O26" s="339"/>
      <c r="P26" s="339"/>
      <c r="Q26" s="339"/>
      <c r="S26" s="49">
        <f t="shared" si="1"/>
        <v>0</v>
      </c>
      <c r="T26" s="49">
        <f t="shared" si="2"/>
        <v>0</v>
      </c>
      <c r="U26" s="49">
        <f t="shared" si="3"/>
        <v>0</v>
      </c>
      <c r="V26" s="49">
        <f t="shared" si="4"/>
        <v>0</v>
      </c>
      <c r="W26" s="49">
        <f t="shared" si="5"/>
        <v>0</v>
      </c>
      <c r="X26" s="49"/>
    </row>
    <row r="27" spans="2:33" ht="40" customHeight="1" thickBot="1" x14ac:dyDescent="0.3">
      <c r="B27" s="323"/>
      <c r="C27" s="279" t="s">
        <v>248</v>
      </c>
      <c r="D27" s="279"/>
      <c r="E27" s="279"/>
      <c r="F27" s="288"/>
      <c r="G27" s="288"/>
      <c r="H27" s="366" t="s">
        <v>42</v>
      </c>
      <c r="I27" s="366"/>
      <c r="J27" s="286"/>
      <c r="K27" s="286"/>
      <c r="L27" s="286"/>
      <c r="M27" s="286"/>
      <c r="N27" s="339"/>
      <c r="O27" s="339"/>
      <c r="P27" s="339"/>
      <c r="Q27" s="339"/>
      <c r="S27" s="49">
        <f t="shared" si="1"/>
        <v>0</v>
      </c>
      <c r="T27" s="49">
        <f t="shared" si="2"/>
        <v>0</v>
      </c>
      <c r="U27" s="49">
        <f t="shared" si="3"/>
        <v>0</v>
      </c>
      <c r="V27" s="49">
        <f t="shared" si="4"/>
        <v>0</v>
      </c>
      <c r="W27" s="49">
        <f t="shared" si="5"/>
        <v>0</v>
      </c>
      <c r="X27" s="49"/>
    </row>
    <row r="28" spans="2:33" ht="40" customHeight="1" thickBot="1" x14ac:dyDescent="0.3">
      <c r="B28" s="323"/>
      <c r="C28" s="279" t="s">
        <v>254</v>
      </c>
      <c r="D28" s="279"/>
      <c r="E28" s="279"/>
      <c r="F28" s="288"/>
      <c r="G28" s="288"/>
      <c r="H28" s="340" t="s">
        <v>42</v>
      </c>
      <c r="I28" s="340"/>
      <c r="J28" s="275"/>
      <c r="K28" s="275"/>
      <c r="L28" s="275"/>
      <c r="M28" s="275"/>
      <c r="N28" s="220"/>
      <c r="O28" s="220"/>
      <c r="P28" s="220"/>
      <c r="Q28" s="220"/>
      <c r="S28" s="75">
        <f t="shared" si="1"/>
        <v>0</v>
      </c>
      <c r="T28" s="75">
        <f t="shared" si="2"/>
        <v>0</v>
      </c>
      <c r="U28" s="75">
        <f t="shared" si="3"/>
        <v>0</v>
      </c>
      <c r="V28" s="75">
        <f t="shared" si="4"/>
        <v>0</v>
      </c>
      <c r="W28" s="75">
        <f t="shared" si="5"/>
        <v>0</v>
      </c>
      <c r="X28" s="75"/>
    </row>
    <row r="29" spans="2:33" ht="40" customHeight="1" thickBot="1" x14ac:dyDescent="0.3">
      <c r="B29" s="325">
        <v>5</v>
      </c>
      <c r="C29" s="343" t="s">
        <v>251</v>
      </c>
      <c r="D29" s="343"/>
      <c r="E29" s="343"/>
      <c r="F29" s="351" t="s">
        <v>256</v>
      </c>
      <c r="G29" s="351"/>
      <c r="H29" s="365" t="s">
        <v>42</v>
      </c>
      <c r="I29" s="365"/>
      <c r="J29" s="351" t="s">
        <v>897</v>
      </c>
      <c r="K29" s="352"/>
      <c r="L29" s="352"/>
      <c r="M29" s="352"/>
      <c r="N29" s="272"/>
      <c r="O29" s="272"/>
      <c r="P29" s="272"/>
      <c r="Q29" s="272"/>
      <c r="S29" s="49">
        <f t="shared" si="1"/>
        <v>0</v>
      </c>
      <c r="T29" s="49">
        <f t="shared" si="2"/>
        <v>0</v>
      </c>
      <c r="U29" s="49">
        <f t="shared" ref="U29" si="6">IF(H29="In den meisten Fällen",0.75,0)</f>
        <v>0</v>
      </c>
      <c r="V29" s="49">
        <f t="shared" ref="V29" si="7">IF(H29="In ein Paar Fällen",0.5,0)</f>
        <v>0</v>
      </c>
      <c r="W29" s="49">
        <f t="shared" ref="W29" si="8">IF(H29="Gar nicht",0,0)</f>
        <v>0</v>
      </c>
      <c r="X29" s="143">
        <f>IFERROR(SUM(T3:W29)/COUNTIF(H29:H30,"&lt;&gt;Nicht anwendbar"),"n.a.")</f>
        <v>0</v>
      </c>
      <c r="Y29" s="48">
        <f>IF(Y25=1,X29,0)</f>
        <v>0</v>
      </c>
    </row>
    <row r="30" spans="2:33" ht="40" customHeight="1" thickBot="1" x14ac:dyDescent="0.3">
      <c r="B30" s="326"/>
      <c r="C30" s="360" t="s">
        <v>252</v>
      </c>
      <c r="D30" s="360"/>
      <c r="E30" s="360"/>
      <c r="F30" s="289"/>
      <c r="G30" s="289"/>
      <c r="H30" s="340" t="s">
        <v>42</v>
      </c>
      <c r="I30" s="340"/>
      <c r="J30" s="275"/>
      <c r="K30" s="275"/>
      <c r="L30" s="275"/>
      <c r="M30" s="275"/>
      <c r="N30" s="221"/>
      <c r="O30" s="221"/>
      <c r="P30" s="221"/>
      <c r="Q30" s="221"/>
      <c r="S30" s="142">
        <f t="shared" si="1"/>
        <v>0</v>
      </c>
      <c r="T30" s="142">
        <f t="shared" si="2"/>
        <v>0</v>
      </c>
      <c r="U30" s="142">
        <f t="shared" si="3"/>
        <v>0</v>
      </c>
      <c r="V30" s="142">
        <f t="shared" si="4"/>
        <v>0</v>
      </c>
      <c r="W30" s="142">
        <f t="shared" si="5"/>
        <v>0</v>
      </c>
      <c r="X30" s="142"/>
    </row>
  </sheetData>
  <sheetProtection formatCells="0"/>
  <protectedRanges>
    <protectedRange sqref="N31:Q32" name="Bereich1"/>
    <protectedRange sqref="N17:Q17 N21:Q21 N29:Q29 N25:Q25" name="Bereich1_1"/>
  </protectedRanges>
  <mergeCells count="69">
    <mergeCell ref="J16:M16"/>
    <mergeCell ref="F21:G24"/>
    <mergeCell ref="H21:I21"/>
    <mergeCell ref="H22:I22"/>
    <mergeCell ref="H23:I23"/>
    <mergeCell ref="H24:I24"/>
    <mergeCell ref="J17:M20"/>
    <mergeCell ref="J21:M24"/>
    <mergeCell ref="H28:I28"/>
    <mergeCell ref="H29:I29"/>
    <mergeCell ref="C16:E16"/>
    <mergeCell ref="F16:G16"/>
    <mergeCell ref="H16:I16"/>
    <mergeCell ref="B17:B20"/>
    <mergeCell ref="C17:E17"/>
    <mergeCell ref="H17:I17"/>
    <mergeCell ref="C18:E18"/>
    <mergeCell ref="H18:I18"/>
    <mergeCell ref="C19:E19"/>
    <mergeCell ref="H19:I19"/>
    <mergeCell ref="C20:E20"/>
    <mergeCell ref="H20:I20"/>
    <mergeCell ref="F17:G20"/>
    <mergeCell ref="B15:M15"/>
    <mergeCell ref="B4:M4"/>
    <mergeCell ref="C6:G6"/>
    <mergeCell ref="C7:M7"/>
    <mergeCell ref="C8:M8"/>
    <mergeCell ref="C9:M9"/>
    <mergeCell ref="C10:M10"/>
    <mergeCell ref="C14:E14"/>
    <mergeCell ref="F14:G14"/>
    <mergeCell ref="H14:I14"/>
    <mergeCell ref="J14:M14"/>
    <mergeCell ref="J25:M28"/>
    <mergeCell ref="J29:M30"/>
    <mergeCell ref="B25:B28"/>
    <mergeCell ref="F25:G28"/>
    <mergeCell ref="C28:E28"/>
    <mergeCell ref="C30:E30"/>
    <mergeCell ref="B29:B30"/>
    <mergeCell ref="C29:E29"/>
    <mergeCell ref="F29:G30"/>
    <mergeCell ref="H30:I30"/>
    <mergeCell ref="C25:E25"/>
    <mergeCell ref="H25:I25"/>
    <mergeCell ref="C26:E26"/>
    <mergeCell ref="H26:I26"/>
    <mergeCell ref="C27:E27"/>
    <mergeCell ref="H27:I27"/>
    <mergeCell ref="B21:B24"/>
    <mergeCell ref="C21:E21"/>
    <mergeCell ref="C22:E22"/>
    <mergeCell ref="C23:E23"/>
    <mergeCell ref="C24:E24"/>
    <mergeCell ref="N14:Q14"/>
    <mergeCell ref="N16:Q16"/>
    <mergeCell ref="N17:Q17"/>
    <mergeCell ref="N18:Q18"/>
    <mergeCell ref="N19:Q19"/>
    <mergeCell ref="N27:Q27"/>
    <mergeCell ref="N29:Q29"/>
    <mergeCell ref="N25:Q25"/>
    <mergeCell ref="N22:Q22"/>
    <mergeCell ref="N20:Q20"/>
    <mergeCell ref="N21:Q21"/>
    <mergeCell ref="N23:Q23"/>
    <mergeCell ref="N24:Q24"/>
    <mergeCell ref="N26:Q26"/>
  </mergeCells>
  <conditionalFormatting sqref="H30:I30 H16:I28">
    <cfRule type="containsText" dxfId="64" priority="3" operator="containsText" text="Bitte auswählen">
      <formula>NOT(ISERROR(SEARCH("Bitte auswählen",H16)))</formula>
    </cfRule>
  </conditionalFormatting>
  <conditionalFormatting sqref="H29:I29">
    <cfRule type="containsText" dxfId="63" priority="1" operator="containsText" text="Bitte auswählen">
      <formula>NOT(ISERROR(SEARCH("Bitte auswählen",H29)))</formula>
    </cfRule>
  </conditionalFormatting>
  <dataValidations xWindow="758" yWindow="418" count="2">
    <dataValidation allowBlank="1" showInputMessage="1" showErrorMessage="1" promptTitle="[+] Klicken" prompt="Hier können Sie sich erweiterte Informationen zu dem Prozess anzeigen lassen." sqref="A11" xr:uid="{00000000-0002-0000-0700-000000000000}"/>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04DB75AB-9A95-4748-9FFE-1ACC5BCE0901}"/>
  </dataValidations>
  <hyperlinks>
    <hyperlink ref="C26:E26" location="Glossar!A1" display="Wird die crossfunktionale Teamarbeit mit Hilfe von Kennzahlen gesteuert?" xr:uid="{058AC098-8ABF-45E2-9458-30F49ABBE6BB}"/>
  </hyperlinks>
  <pageMargins left="0.23622047244094491" right="0.23622047244094491" top="0.74803149606299213" bottom="0.74803149606299213" header="0.31496062992125984" footer="0.31496062992125984"/>
  <pageSetup paperSize="9" scale="46" orientation="landscape" horizontalDpi="4294967293"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758" yWindow="418" count="1">
        <x14:dataValidation type="list" allowBlank="1" showInputMessage="1" showErrorMessage="1" xr:uid="{00000000-0002-0000-0700-000001000000}">
          <x14:formula1>
            <xm:f>Data!$I$3:$I$8</xm:f>
          </x14:formula1>
          <xm:sqref>I30 I16:I28 H16:H30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33399"/>
    <pageSetUpPr fitToPage="1"/>
  </sheetPr>
  <dimension ref="B4:AG28"/>
  <sheetViews>
    <sheetView showGridLines="0" zoomScale="90" zoomScaleNormal="90" zoomScalePageLayoutView="85" workbookViewId="0"/>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40.26953125" style="48" hidden="1" customWidth="1" outlineLevel="1"/>
    <col min="7" max="7" width="54.7265625" style="48" hidden="1" customWidth="1" outlineLevel="1"/>
    <col min="8" max="8" width="11.453125" style="48" collapsed="1"/>
    <col min="9" max="10" width="11.453125" style="48"/>
    <col min="11" max="11" width="13.26953125" style="48" customWidth="1"/>
    <col min="12" max="12" width="13" style="48" bestFit="1" customWidth="1"/>
    <col min="13" max="13" width="37.26953125" style="48" customWidth="1"/>
    <col min="14" max="14" width="11.453125" style="48"/>
    <col min="15" max="15" width="13.26953125" style="48" customWidth="1"/>
    <col min="16" max="16" width="11.453125" style="48"/>
    <col min="17" max="17" width="32.453125" style="48" customWidth="1"/>
    <col min="18" max="18" width="11.453125" style="49"/>
    <col min="19" max="24" width="11.453125" style="48" customWidth="1"/>
    <col min="25" max="25" width="14" style="48" customWidth="1"/>
    <col min="26" max="32" width="11.453125" style="48" customWidth="1"/>
    <col min="33" max="33" width="11.453125" style="48" hidden="1" customWidth="1"/>
    <col min="34" max="16384" width="11.453125" style="48"/>
  </cols>
  <sheetData>
    <row r="4" spans="2:26" ht="14" x14ac:dyDescent="0.3">
      <c r="B4" s="290" t="s">
        <v>39</v>
      </c>
      <c r="C4" s="290"/>
      <c r="D4" s="290"/>
      <c r="E4" s="290"/>
      <c r="F4" s="290"/>
      <c r="G4" s="290"/>
      <c r="H4" s="290"/>
      <c r="I4" s="290"/>
      <c r="J4" s="290"/>
      <c r="K4" s="290"/>
      <c r="L4" s="290"/>
      <c r="M4" s="290"/>
      <c r="N4" s="216"/>
      <c r="O4" s="216"/>
      <c r="P4" s="216"/>
      <c r="Q4" s="216"/>
    </row>
    <row r="5" spans="2:26" ht="9" customHeight="1" x14ac:dyDescent="0.25"/>
    <row r="6" spans="2:26" ht="32.25" customHeight="1" thickBot="1" x14ac:dyDescent="0.3">
      <c r="B6" s="162" t="s">
        <v>91</v>
      </c>
      <c r="C6" s="293" t="s">
        <v>156</v>
      </c>
      <c r="D6" s="293"/>
      <c r="E6" s="293"/>
      <c r="F6" s="293"/>
      <c r="G6" s="293"/>
      <c r="H6" s="53"/>
      <c r="I6" s="53"/>
      <c r="J6" s="53"/>
      <c r="K6" s="53" t="s">
        <v>36</v>
      </c>
      <c r="L6" s="55">
        <f>ROUNDDOWN(Z16/0.25,0)*0.25</f>
        <v>0</v>
      </c>
      <c r="M6" s="54" t="str">
        <f>IF(L6&lt;1,"Unvollständig",IF(L6&lt;2,"Initial",IF(L6&lt;3,"Gemanagt",IF(L6&lt;4,"Definiert",IF(L6&lt;5,"Quantitativ gemanagt",IF(L6&lt;6,"Optimiert","Ausstehend"))))))</f>
        <v>Unvollständig</v>
      </c>
      <c r="N6" s="53"/>
      <c r="O6" s="53"/>
      <c r="P6" s="55"/>
      <c r="Q6" s="54"/>
    </row>
    <row r="7" spans="2:26" ht="35.25" hidden="1" customHeight="1" outlineLevel="1" x14ac:dyDescent="0.25">
      <c r="B7" s="76" t="s">
        <v>211</v>
      </c>
      <c r="C7" s="294" t="s">
        <v>778</v>
      </c>
      <c r="D7" s="295"/>
      <c r="E7" s="295"/>
      <c r="F7" s="295"/>
      <c r="G7" s="295"/>
      <c r="H7" s="295"/>
      <c r="I7" s="295"/>
      <c r="J7" s="295"/>
      <c r="K7" s="295"/>
      <c r="L7" s="295"/>
      <c r="M7" s="296"/>
      <c r="N7" s="218"/>
      <c r="O7" s="218"/>
      <c r="P7" s="218"/>
      <c r="Q7" s="218"/>
    </row>
    <row r="8" spans="2:26" ht="70.5" hidden="1" customHeight="1" outlineLevel="1" x14ac:dyDescent="0.25">
      <c r="B8" s="51" t="s">
        <v>212</v>
      </c>
      <c r="C8" s="297" t="s">
        <v>272</v>
      </c>
      <c r="D8" s="298"/>
      <c r="E8" s="298"/>
      <c r="F8" s="298"/>
      <c r="G8" s="298"/>
      <c r="H8" s="298"/>
      <c r="I8" s="298"/>
      <c r="J8" s="298"/>
      <c r="K8" s="298"/>
      <c r="L8" s="298"/>
      <c r="M8" s="299"/>
      <c r="N8" s="217"/>
      <c r="O8" s="217"/>
      <c r="P8" s="217"/>
      <c r="Q8" s="217"/>
    </row>
    <row r="9" spans="2:26" ht="107.25" hidden="1" customHeight="1" outlineLevel="1" x14ac:dyDescent="0.25">
      <c r="B9" s="51" t="s">
        <v>30</v>
      </c>
      <c r="C9" s="300" t="s">
        <v>273</v>
      </c>
      <c r="D9" s="301"/>
      <c r="E9" s="301"/>
      <c r="F9" s="301"/>
      <c r="G9" s="301"/>
      <c r="H9" s="301"/>
      <c r="I9" s="301"/>
      <c r="J9" s="301"/>
      <c r="K9" s="301"/>
      <c r="L9" s="301"/>
      <c r="M9" s="302"/>
      <c r="N9" s="218"/>
      <c r="O9" s="218"/>
      <c r="P9" s="218"/>
      <c r="Q9" s="218"/>
    </row>
    <row r="10" spans="2:26" ht="65.25" hidden="1" customHeight="1" outlineLevel="1" x14ac:dyDescent="0.25">
      <c r="B10" s="51" t="s">
        <v>31</v>
      </c>
      <c r="C10" s="300" t="s">
        <v>274</v>
      </c>
      <c r="D10" s="301"/>
      <c r="E10" s="301"/>
      <c r="F10" s="301"/>
      <c r="G10" s="301"/>
      <c r="H10" s="301"/>
      <c r="I10" s="301"/>
      <c r="J10" s="301"/>
      <c r="K10" s="301"/>
      <c r="L10" s="301"/>
      <c r="M10" s="302"/>
      <c r="N10" s="218"/>
      <c r="O10" s="218"/>
      <c r="P10" s="218"/>
      <c r="Q10" s="218"/>
    </row>
    <row r="11" spans="2:26" collapsed="1" x14ac:dyDescent="0.25"/>
    <row r="12" spans="2:26" ht="13" x14ac:dyDescent="0.3">
      <c r="B12" s="50" t="s">
        <v>33</v>
      </c>
      <c r="C12" s="49"/>
      <c r="T12" s="49"/>
      <c r="U12" s="49"/>
      <c r="V12" s="49"/>
      <c r="W12" s="49"/>
      <c r="X12" s="49"/>
      <c r="Y12" s="49"/>
      <c r="Z12" s="49"/>
    </row>
    <row r="13" spans="2:26" ht="6.75" customHeight="1" x14ac:dyDescent="0.25">
      <c r="T13" s="49"/>
      <c r="U13" s="49"/>
      <c r="V13" s="49"/>
      <c r="W13" s="49"/>
      <c r="X13" s="49"/>
      <c r="Y13" s="49"/>
      <c r="Z13" s="49"/>
    </row>
    <row r="14" spans="2:26" ht="21.75" customHeight="1" x14ac:dyDescent="0.25">
      <c r="B14" s="52" t="s">
        <v>34</v>
      </c>
      <c r="C14" s="353" t="s">
        <v>37</v>
      </c>
      <c r="D14" s="354"/>
      <c r="E14" s="355"/>
      <c r="F14" s="341" t="s">
        <v>67</v>
      </c>
      <c r="G14" s="356"/>
      <c r="H14" s="341" t="s">
        <v>3</v>
      </c>
      <c r="I14" s="356"/>
      <c r="J14" s="341" t="s">
        <v>886</v>
      </c>
      <c r="K14" s="342"/>
      <c r="L14" s="342"/>
      <c r="M14" s="342"/>
      <c r="N14" s="341" t="s">
        <v>38</v>
      </c>
      <c r="O14" s="342"/>
      <c r="P14" s="342"/>
      <c r="Q14" s="342"/>
      <c r="T14" s="49" t="s">
        <v>35</v>
      </c>
      <c r="U14" s="49"/>
      <c r="V14" s="49"/>
      <c r="W14" s="49"/>
      <c r="X14" s="49"/>
      <c r="Y14" s="49" t="s">
        <v>45</v>
      </c>
      <c r="Z14" s="49" t="s">
        <v>44</v>
      </c>
    </row>
    <row r="15" spans="2:26" ht="1.5" customHeight="1" x14ac:dyDescent="0.3">
      <c r="B15" s="314"/>
      <c r="C15" s="314"/>
      <c r="D15" s="314"/>
      <c r="E15" s="314"/>
      <c r="F15" s="314"/>
      <c r="G15" s="314"/>
      <c r="H15" s="314"/>
      <c r="I15" s="314"/>
      <c r="J15" s="314"/>
      <c r="K15" s="314"/>
      <c r="L15" s="314"/>
      <c r="M15" s="314"/>
      <c r="N15" s="219"/>
      <c r="O15" s="219"/>
      <c r="P15" s="219"/>
      <c r="Q15" s="219"/>
    </row>
    <row r="16" spans="2:26" ht="40" customHeight="1" thickBot="1" x14ac:dyDescent="0.3">
      <c r="B16" s="189">
        <v>1</v>
      </c>
      <c r="C16" s="279" t="s">
        <v>1118</v>
      </c>
      <c r="D16" s="279"/>
      <c r="E16" s="279"/>
      <c r="F16" s="350" t="s">
        <v>260</v>
      </c>
      <c r="G16" s="350"/>
      <c r="H16" s="359" t="s">
        <v>42</v>
      </c>
      <c r="I16" s="359"/>
      <c r="J16" s="372" t="s">
        <v>29</v>
      </c>
      <c r="K16" s="372"/>
      <c r="L16" s="372"/>
      <c r="M16" s="372"/>
      <c r="N16" s="340"/>
      <c r="O16" s="340"/>
      <c r="P16" s="340"/>
      <c r="Q16" s="340"/>
      <c r="S16" s="143">
        <f>IF(H16="Nicht anwendbar","n.a.",0)</f>
        <v>0</v>
      </c>
      <c r="T16" s="143">
        <f>IF(H16="Vollständig",1,0)</f>
        <v>0</v>
      </c>
      <c r="U16" s="143">
        <f t="shared" ref="U16" si="0">IF(H16="In den meisten Fällen",0.75,0)</f>
        <v>0</v>
      </c>
      <c r="V16" s="143">
        <f t="shared" ref="V16" si="1">IF(H16="In ein Paar Fällen",0.5,0)</f>
        <v>0</v>
      </c>
      <c r="W16" s="143">
        <f t="shared" ref="W16" si="2">IF(H16="Gar nicht",0,0)</f>
        <v>0</v>
      </c>
      <c r="X16" s="143">
        <f>IF(S16&gt;0,"n.a.",SUM(S16:W16))</f>
        <v>0</v>
      </c>
      <c r="Y16" s="143">
        <f>X16</f>
        <v>0</v>
      </c>
      <c r="Z16" s="48">
        <f>IF(Y16&lt;&gt;"n.a.",SUM(Y16,Y17,Y20,Y23,Y27),NA())</f>
        <v>0</v>
      </c>
    </row>
    <row r="17" spans="2:33" ht="40" customHeight="1" thickBot="1" x14ac:dyDescent="0.3">
      <c r="B17" s="325">
        <v>2</v>
      </c>
      <c r="C17" s="343" t="s">
        <v>262</v>
      </c>
      <c r="D17" s="343"/>
      <c r="E17" s="343"/>
      <c r="F17" s="361" t="s">
        <v>265</v>
      </c>
      <c r="G17" s="362"/>
      <c r="H17" s="365" t="s">
        <v>42</v>
      </c>
      <c r="I17" s="365"/>
      <c r="J17" s="351" t="s">
        <v>898</v>
      </c>
      <c r="K17" s="352"/>
      <c r="L17" s="352"/>
      <c r="M17" s="352"/>
      <c r="N17" s="272"/>
      <c r="O17" s="272"/>
      <c r="P17" s="272"/>
      <c r="Q17" s="272"/>
      <c r="S17" s="143">
        <f t="shared" ref="S17:S28" si="3">IF(H17="Nicht anwendbar","n.a.",0)</f>
        <v>0</v>
      </c>
      <c r="T17" s="143">
        <f t="shared" ref="T17:T28" si="4">IF(H17="Vollständig",1,0)</f>
        <v>0</v>
      </c>
      <c r="U17" s="143">
        <f t="shared" ref="U17:U28" si="5">IF(H17="In den meisten Fällen",0.75,0)</f>
        <v>0</v>
      </c>
      <c r="V17" s="143">
        <f t="shared" ref="V17:V28" si="6">IF(H17="In ein Paar Fällen",0.5,0)</f>
        <v>0</v>
      </c>
      <c r="W17" s="143">
        <f t="shared" ref="W17:W28" si="7">IF(H17="Gar nicht",0,0)</f>
        <v>0</v>
      </c>
      <c r="X17" s="143">
        <f>IFERROR(SUM(T17:W19)/COUNTIF(H17:H19,"&lt;&gt;Nicht anwendbar"),"n.a.")</f>
        <v>0</v>
      </c>
      <c r="Y17" s="48">
        <f>IF(X16=1,X17,0)</f>
        <v>0</v>
      </c>
      <c r="AG17" s="49" t="str">
        <f>IF(X18&gt;0.5,"Umgesetzt","Nicht umgesetzt")</f>
        <v>Nicht umgesetzt</v>
      </c>
    </row>
    <row r="18" spans="2:33" ht="40" customHeight="1" thickBot="1" x14ac:dyDescent="0.3">
      <c r="B18" s="323"/>
      <c r="C18" s="350" t="s">
        <v>261</v>
      </c>
      <c r="D18" s="350"/>
      <c r="E18" s="350"/>
      <c r="F18" s="307"/>
      <c r="G18" s="307"/>
      <c r="H18" s="366" t="s">
        <v>42</v>
      </c>
      <c r="I18" s="366"/>
      <c r="J18" s="286"/>
      <c r="K18" s="286"/>
      <c r="L18" s="286"/>
      <c r="M18" s="286"/>
      <c r="N18" s="339"/>
      <c r="O18" s="339"/>
      <c r="P18" s="339"/>
      <c r="Q18" s="339"/>
      <c r="S18" s="49">
        <f t="shared" si="3"/>
        <v>0</v>
      </c>
      <c r="T18" s="49">
        <f t="shared" si="4"/>
        <v>0</v>
      </c>
      <c r="U18" s="49">
        <f t="shared" si="5"/>
        <v>0</v>
      </c>
      <c r="V18" s="49">
        <f t="shared" si="6"/>
        <v>0</v>
      </c>
      <c r="W18" s="49">
        <f t="shared" si="7"/>
        <v>0</v>
      </c>
      <c r="X18" s="49"/>
      <c r="AG18" s="49" t="str">
        <f>IF(X19&gt;0.5,"Umgesetzt","Nicht umgesetzt")</f>
        <v>Nicht umgesetzt</v>
      </c>
    </row>
    <row r="19" spans="2:33" ht="40" customHeight="1" thickBot="1" x14ac:dyDescent="0.3">
      <c r="B19" s="323"/>
      <c r="C19" s="330" t="s">
        <v>264</v>
      </c>
      <c r="D19" s="330"/>
      <c r="E19" s="330"/>
      <c r="F19" s="307"/>
      <c r="G19" s="307"/>
      <c r="H19" s="340" t="s">
        <v>42</v>
      </c>
      <c r="I19" s="340"/>
      <c r="J19" s="275"/>
      <c r="K19" s="275"/>
      <c r="L19" s="275"/>
      <c r="M19" s="275"/>
      <c r="N19" s="339"/>
      <c r="O19" s="339"/>
      <c r="P19" s="339"/>
      <c r="Q19" s="339"/>
      <c r="S19" s="49">
        <f t="shared" si="3"/>
        <v>0</v>
      </c>
      <c r="T19" s="142">
        <f t="shared" si="4"/>
        <v>0</v>
      </c>
      <c r="U19" s="142">
        <f t="shared" si="5"/>
        <v>0</v>
      </c>
      <c r="V19" s="142">
        <f t="shared" si="6"/>
        <v>0</v>
      </c>
      <c r="W19" s="142">
        <f t="shared" si="7"/>
        <v>0</v>
      </c>
      <c r="X19" s="142"/>
      <c r="AG19" s="49" t="e">
        <f>IF(#REF!&gt;0.5,"Umgesetzt","Nicht umgesetzt")</f>
        <v>#REF!</v>
      </c>
    </row>
    <row r="20" spans="2:33" ht="40" customHeight="1" thickBot="1" x14ac:dyDescent="0.3">
      <c r="B20" s="325">
        <v>3</v>
      </c>
      <c r="C20" s="344" t="s">
        <v>1119</v>
      </c>
      <c r="D20" s="345"/>
      <c r="E20" s="345"/>
      <c r="F20" s="370" t="s">
        <v>788</v>
      </c>
      <c r="G20" s="371"/>
      <c r="H20" s="365" t="s">
        <v>42</v>
      </c>
      <c r="I20" s="365"/>
      <c r="J20" s="357" t="s">
        <v>899</v>
      </c>
      <c r="K20" s="358"/>
      <c r="L20" s="358"/>
      <c r="M20" s="358"/>
      <c r="N20" s="272"/>
      <c r="O20" s="272"/>
      <c r="P20" s="272"/>
      <c r="Q20" s="272"/>
      <c r="S20" s="143">
        <f t="shared" si="3"/>
        <v>0</v>
      </c>
      <c r="T20" s="49">
        <f t="shared" si="4"/>
        <v>0</v>
      </c>
      <c r="U20" s="49">
        <f t="shared" si="5"/>
        <v>0</v>
      </c>
      <c r="V20" s="49">
        <f t="shared" si="6"/>
        <v>0</v>
      </c>
      <c r="W20" s="49">
        <f t="shared" si="7"/>
        <v>0</v>
      </c>
      <c r="X20" s="143">
        <f>IFERROR(SUM(T20:W22)/COUNTIF(H20:H22,"&lt;&gt;Nicht anwendbar"),"n.a.")</f>
        <v>0</v>
      </c>
      <c r="Y20" s="48">
        <f>IF(Y17=1,X20,0)</f>
        <v>0</v>
      </c>
    </row>
    <row r="21" spans="2:33" ht="40" customHeight="1" thickBot="1" x14ac:dyDescent="0.3">
      <c r="B21" s="323"/>
      <c r="C21" s="347" t="s">
        <v>268</v>
      </c>
      <c r="D21" s="348"/>
      <c r="E21" s="348"/>
      <c r="F21" s="337"/>
      <c r="G21" s="337"/>
      <c r="H21" s="366" t="s">
        <v>42</v>
      </c>
      <c r="I21" s="366"/>
      <c r="J21" s="282"/>
      <c r="K21" s="282"/>
      <c r="L21" s="282"/>
      <c r="M21" s="282"/>
      <c r="N21" s="339"/>
      <c r="O21" s="339"/>
      <c r="P21" s="339"/>
      <c r="Q21" s="339"/>
      <c r="S21" s="49">
        <f t="shared" si="3"/>
        <v>0</v>
      </c>
      <c r="T21" s="49">
        <f t="shared" si="4"/>
        <v>0</v>
      </c>
      <c r="U21" s="49">
        <f t="shared" si="5"/>
        <v>0</v>
      </c>
      <c r="V21" s="49">
        <f t="shared" si="6"/>
        <v>0</v>
      </c>
      <c r="W21" s="49">
        <f t="shared" si="7"/>
        <v>0</v>
      </c>
    </row>
    <row r="22" spans="2:33" ht="40" customHeight="1" thickBot="1" x14ac:dyDescent="0.3">
      <c r="B22" s="323"/>
      <c r="C22" s="347" t="s">
        <v>266</v>
      </c>
      <c r="D22" s="348"/>
      <c r="E22" s="348"/>
      <c r="F22" s="337"/>
      <c r="G22" s="337"/>
      <c r="H22" s="340" t="s">
        <v>42</v>
      </c>
      <c r="I22" s="340"/>
      <c r="J22" s="270"/>
      <c r="K22" s="270"/>
      <c r="L22" s="270"/>
      <c r="M22" s="270"/>
      <c r="N22" s="339"/>
      <c r="O22" s="339"/>
      <c r="P22" s="339"/>
      <c r="Q22" s="339"/>
      <c r="S22" s="49">
        <f t="shared" si="3"/>
        <v>0</v>
      </c>
      <c r="T22" s="142">
        <f t="shared" si="4"/>
        <v>0</v>
      </c>
      <c r="U22" s="142">
        <f t="shared" si="5"/>
        <v>0</v>
      </c>
      <c r="V22" s="142">
        <f t="shared" si="6"/>
        <v>0</v>
      </c>
      <c r="W22" s="142">
        <f t="shared" si="7"/>
        <v>0</v>
      </c>
      <c r="X22" s="142"/>
    </row>
    <row r="23" spans="2:33" ht="45" customHeight="1" thickBot="1" x14ac:dyDescent="0.3">
      <c r="B23" s="325">
        <v>4</v>
      </c>
      <c r="C23" s="343" t="s">
        <v>1120</v>
      </c>
      <c r="D23" s="343"/>
      <c r="E23" s="343"/>
      <c r="F23" s="361" t="s">
        <v>789</v>
      </c>
      <c r="G23" s="362"/>
      <c r="H23" s="365" t="s">
        <v>42</v>
      </c>
      <c r="I23" s="365"/>
      <c r="J23" s="351" t="s">
        <v>900</v>
      </c>
      <c r="K23" s="352"/>
      <c r="L23" s="352"/>
      <c r="M23" s="352"/>
      <c r="N23" s="272"/>
      <c r="O23" s="272"/>
      <c r="P23" s="272"/>
      <c r="Q23" s="272"/>
      <c r="S23" s="143">
        <f t="shared" si="3"/>
        <v>0</v>
      </c>
      <c r="T23" s="49">
        <f t="shared" si="4"/>
        <v>0</v>
      </c>
      <c r="U23" s="49">
        <f t="shared" si="5"/>
        <v>0</v>
      </c>
      <c r="V23" s="49">
        <f t="shared" si="6"/>
        <v>0</v>
      </c>
      <c r="W23" s="49">
        <f t="shared" si="7"/>
        <v>0</v>
      </c>
      <c r="X23" s="143">
        <f>IFERROR(SUM(T23:W26)/COUNTIF(H23:H26,"&lt;&gt;Nicht anwendbar"),"n.a.")</f>
        <v>0</v>
      </c>
      <c r="Y23" s="48">
        <f>IF(Y20=1,X23,0)</f>
        <v>0</v>
      </c>
    </row>
    <row r="24" spans="2:33" ht="45" customHeight="1" thickBot="1" x14ac:dyDescent="0.3">
      <c r="B24" s="323"/>
      <c r="C24" s="330" t="s">
        <v>269</v>
      </c>
      <c r="D24" s="330"/>
      <c r="E24" s="330"/>
      <c r="F24" s="307"/>
      <c r="G24" s="307"/>
      <c r="H24" s="366" t="s">
        <v>42</v>
      </c>
      <c r="I24" s="366"/>
      <c r="J24" s="286"/>
      <c r="K24" s="286"/>
      <c r="L24" s="286"/>
      <c r="M24" s="286"/>
      <c r="N24" s="339"/>
      <c r="O24" s="339"/>
      <c r="P24" s="339"/>
      <c r="Q24" s="339"/>
      <c r="S24" s="49">
        <f t="shared" si="3"/>
        <v>0</v>
      </c>
      <c r="T24" s="49">
        <f t="shared" si="4"/>
        <v>0</v>
      </c>
      <c r="U24" s="49">
        <f t="shared" si="5"/>
        <v>0</v>
      </c>
      <c r="V24" s="49">
        <f t="shared" si="6"/>
        <v>0</v>
      </c>
      <c r="W24" s="49">
        <f t="shared" si="7"/>
        <v>0</v>
      </c>
      <c r="X24" s="49"/>
    </row>
    <row r="25" spans="2:33" ht="45" customHeight="1" thickBot="1" x14ac:dyDescent="0.3">
      <c r="B25" s="323"/>
      <c r="C25" s="330" t="s">
        <v>270</v>
      </c>
      <c r="D25" s="330"/>
      <c r="E25" s="330"/>
      <c r="F25" s="307"/>
      <c r="G25" s="307"/>
      <c r="H25" s="366" t="s">
        <v>42</v>
      </c>
      <c r="I25" s="366"/>
      <c r="J25" s="286"/>
      <c r="K25" s="286"/>
      <c r="L25" s="286"/>
      <c r="M25" s="286"/>
      <c r="N25" s="339"/>
      <c r="O25" s="339"/>
      <c r="P25" s="339"/>
      <c r="Q25" s="339"/>
      <c r="S25" s="49">
        <f t="shared" si="3"/>
        <v>0</v>
      </c>
      <c r="T25" s="49">
        <f t="shared" si="4"/>
        <v>0</v>
      </c>
      <c r="U25" s="49">
        <f t="shared" ref="U25" si="8">IF(H25="In den meisten Fällen",0.75,0)</f>
        <v>0</v>
      </c>
      <c r="V25" s="49">
        <f t="shared" ref="V25" si="9">IF(H25="In ein Paar Fällen",0.5,0)</f>
        <v>0</v>
      </c>
      <c r="W25" s="49">
        <f t="shared" ref="W25" si="10">IF(H25="Gar nicht",0,0)</f>
        <v>0</v>
      </c>
      <c r="X25" s="49"/>
    </row>
    <row r="26" spans="2:33" ht="45" customHeight="1" thickBot="1" x14ac:dyDescent="0.3">
      <c r="B26" s="326"/>
      <c r="C26" s="350" t="s">
        <v>263</v>
      </c>
      <c r="D26" s="350"/>
      <c r="E26" s="350"/>
      <c r="F26" s="308"/>
      <c r="G26" s="308"/>
      <c r="H26" s="340" t="s">
        <v>42</v>
      </c>
      <c r="I26" s="340"/>
      <c r="J26" s="275"/>
      <c r="K26" s="275"/>
      <c r="L26" s="275"/>
      <c r="M26" s="275"/>
      <c r="N26" s="339"/>
      <c r="O26" s="339"/>
      <c r="P26" s="339"/>
      <c r="Q26" s="339"/>
      <c r="S26" s="49">
        <f t="shared" si="3"/>
        <v>0</v>
      </c>
      <c r="T26" s="142">
        <f t="shared" si="4"/>
        <v>0</v>
      </c>
      <c r="U26" s="142">
        <f t="shared" si="5"/>
        <v>0</v>
      </c>
      <c r="V26" s="142">
        <f t="shared" si="6"/>
        <v>0</v>
      </c>
      <c r="W26" s="142">
        <f t="shared" si="7"/>
        <v>0</v>
      </c>
      <c r="X26" s="142"/>
    </row>
    <row r="27" spans="2:33" ht="44.15" customHeight="1" thickBot="1" x14ac:dyDescent="0.3">
      <c r="B27" s="325">
        <v>5</v>
      </c>
      <c r="C27" s="343" t="s">
        <v>787</v>
      </c>
      <c r="D27" s="343"/>
      <c r="E27" s="343"/>
      <c r="F27" s="361" t="s">
        <v>271</v>
      </c>
      <c r="G27" s="362"/>
      <c r="H27" s="365" t="s">
        <v>42</v>
      </c>
      <c r="I27" s="365"/>
      <c r="J27" s="351" t="s">
        <v>901</v>
      </c>
      <c r="K27" s="352"/>
      <c r="L27" s="352"/>
      <c r="M27" s="352"/>
      <c r="N27" s="272"/>
      <c r="O27" s="272"/>
      <c r="P27" s="272"/>
      <c r="Q27" s="272"/>
      <c r="S27" s="143">
        <f t="shared" si="3"/>
        <v>0</v>
      </c>
      <c r="T27" s="143">
        <f t="shared" si="4"/>
        <v>0</v>
      </c>
      <c r="U27" s="143">
        <f t="shared" si="5"/>
        <v>0</v>
      </c>
      <c r="V27" s="143">
        <f t="shared" si="6"/>
        <v>0</v>
      </c>
      <c r="W27" s="143">
        <f t="shared" si="7"/>
        <v>0</v>
      </c>
      <c r="X27" s="143">
        <f>IFERROR(SUM(T27:W28)/COUNTIF(H27:H28,"&lt;&gt;Nicht anwendbar"),"n.a.")</f>
        <v>0</v>
      </c>
      <c r="Y27" s="48">
        <f>IF(Y23=1,X27,0)</f>
        <v>0</v>
      </c>
    </row>
    <row r="28" spans="2:33" ht="44.15" customHeight="1" thickBot="1" x14ac:dyDescent="0.3">
      <c r="B28" s="373"/>
      <c r="C28" s="374" t="s">
        <v>267</v>
      </c>
      <c r="D28" s="374"/>
      <c r="E28" s="374"/>
      <c r="F28" s="376"/>
      <c r="G28" s="376"/>
      <c r="H28" s="375" t="s">
        <v>42</v>
      </c>
      <c r="I28" s="375"/>
      <c r="J28" s="377"/>
      <c r="K28" s="377"/>
      <c r="L28" s="377"/>
      <c r="M28" s="377"/>
      <c r="N28" s="220"/>
      <c r="O28" s="220"/>
      <c r="P28" s="220"/>
      <c r="Q28" s="220"/>
      <c r="S28" s="142">
        <f t="shared" si="3"/>
        <v>0</v>
      </c>
      <c r="T28" s="142">
        <f t="shared" si="4"/>
        <v>0</v>
      </c>
      <c r="U28" s="142">
        <f t="shared" si="5"/>
        <v>0</v>
      </c>
      <c r="V28" s="142">
        <f t="shared" si="6"/>
        <v>0</v>
      </c>
      <c r="W28" s="142">
        <f t="shared" si="7"/>
        <v>0</v>
      </c>
      <c r="X28" s="142"/>
    </row>
  </sheetData>
  <sheetProtection formatCells="0"/>
  <protectedRanges>
    <protectedRange sqref="N31:Q32" name="Bereich1"/>
    <protectedRange sqref="N17:Q17 N29:Q29 N20:Q20 N23:Q23 N27:Q27" name="Bereich1_1"/>
  </protectedRanges>
  <mergeCells count="64">
    <mergeCell ref="J27:M28"/>
    <mergeCell ref="C26:E26"/>
    <mergeCell ref="H26:I26"/>
    <mergeCell ref="C25:E25"/>
    <mergeCell ref="H25:I25"/>
    <mergeCell ref="F23:G26"/>
    <mergeCell ref="H24:I24"/>
    <mergeCell ref="J23:M26"/>
    <mergeCell ref="B27:B28"/>
    <mergeCell ref="C27:E27"/>
    <mergeCell ref="H27:I27"/>
    <mergeCell ref="C28:E28"/>
    <mergeCell ref="H28:I28"/>
    <mergeCell ref="F27:G28"/>
    <mergeCell ref="B23:B26"/>
    <mergeCell ref="C23:E23"/>
    <mergeCell ref="H23:I23"/>
    <mergeCell ref="C24:E24"/>
    <mergeCell ref="B15:M15"/>
    <mergeCell ref="C16:E16"/>
    <mergeCell ref="F16:G16"/>
    <mergeCell ref="J16:M16"/>
    <mergeCell ref="B17:B19"/>
    <mergeCell ref="C17:E17"/>
    <mergeCell ref="H17:I17"/>
    <mergeCell ref="C18:E18"/>
    <mergeCell ref="H18:I18"/>
    <mergeCell ref="C19:E19"/>
    <mergeCell ref="H19:I19"/>
    <mergeCell ref="F17:G19"/>
    <mergeCell ref="B4:M4"/>
    <mergeCell ref="C6:G6"/>
    <mergeCell ref="C7:M7"/>
    <mergeCell ref="C8:M8"/>
    <mergeCell ref="C9:M9"/>
    <mergeCell ref="C10:M10"/>
    <mergeCell ref="C14:E14"/>
    <mergeCell ref="F14:G14"/>
    <mergeCell ref="H14:I14"/>
    <mergeCell ref="J14:M14"/>
    <mergeCell ref="H16:I16"/>
    <mergeCell ref="J17:M19"/>
    <mergeCell ref="B20:B22"/>
    <mergeCell ref="C20:E20"/>
    <mergeCell ref="H20:I20"/>
    <mergeCell ref="C21:E21"/>
    <mergeCell ref="H21:I21"/>
    <mergeCell ref="C22:E22"/>
    <mergeCell ref="F20:G22"/>
    <mergeCell ref="H22:I22"/>
    <mergeCell ref="J20:M22"/>
    <mergeCell ref="N14:Q14"/>
    <mergeCell ref="N16:Q16"/>
    <mergeCell ref="N17:Q17"/>
    <mergeCell ref="N18:Q18"/>
    <mergeCell ref="N19:Q19"/>
    <mergeCell ref="N25:Q25"/>
    <mergeCell ref="N26:Q26"/>
    <mergeCell ref="N27:Q27"/>
    <mergeCell ref="N20:Q20"/>
    <mergeCell ref="N21:Q21"/>
    <mergeCell ref="N22:Q22"/>
    <mergeCell ref="N23:Q23"/>
    <mergeCell ref="N24:Q24"/>
  </mergeCells>
  <conditionalFormatting sqref="H26:I28 H25 H16:I24">
    <cfRule type="containsText" dxfId="62" priority="2" operator="containsText" text="Bitte auswählen">
      <formula>NOT(ISERROR(SEARCH("Bitte auswählen",H16)))</formula>
    </cfRule>
  </conditionalFormatting>
  <dataValidations xWindow="748" yWindow="364" count="2">
    <dataValidation allowBlank="1" showInputMessage="1" showErrorMessage="1" promptTitle="[+] Klicken" prompt="Hier können Sie sich erweiterte Informationen zu dem Prozess anzeigen lassen." sqref="A11" xr:uid="{00000000-0002-0000-0800-000000000000}"/>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083787EE-F300-484B-9C51-FE104E6C956F}"/>
  </dataValidations>
  <pageMargins left="0.23622047244094491" right="0.23622047244094491" top="0.74803149606299213" bottom="0.74803149606299213" header="0.31496062992125984" footer="0.31496062992125984"/>
  <pageSetup paperSize="9" scale="46" orientation="landscape" horizontalDpi="4294967293"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748" yWindow="364" count="1">
        <x14:dataValidation type="list" allowBlank="1" showInputMessage="1" showErrorMessage="1" xr:uid="{00000000-0002-0000-0800-000001000000}">
          <x14:formula1>
            <xm:f>Data!$I$3:$I$8</xm:f>
          </x14:formula1>
          <xm:sqref>I26:I28 I16:I24 H16:H28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333399"/>
    <pageSetUpPr fitToPage="1"/>
  </sheetPr>
  <dimension ref="B4:AG30"/>
  <sheetViews>
    <sheetView showGridLines="0" zoomScale="90" zoomScaleNormal="90" zoomScalePageLayoutView="85" workbookViewId="0"/>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50.26953125" style="144" hidden="1" customWidth="1" outlineLevel="1"/>
    <col min="7" max="7" width="47.453125" style="48" hidden="1" customWidth="1" outlineLevel="1"/>
    <col min="8" max="8" width="11.453125" style="48" collapsed="1"/>
    <col min="9" max="10" width="11.453125" style="48"/>
    <col min="11" max="11" width="13.26953125" style="48" customWidth="1"/>
    <col min="12" max="12" width="11.453125" style="48"/>
    <col min="13" max="13" width="41.7265625" style="48" customWidth="1"/>
    <col min="14" max="14" width="11.453125" style="48"/>
    <col min="15" max="15" width="13.26953125" style="48" customWidth="1"/>
    <col min="16" max="16" width="11.453125" style="48"/>
    <col min="17" max="17" width="24.81640625" style="48" customWidth="1"/>
    <col min="18" max="18" width="11.453125" style="49" customWidth="1"/>
    <col min="19" max="24" width="11.453125" style="48" customWidth="1"/>
    <col min="25" max="25" width="14" style="48" customWidth="1"/>
    <col min="26" max="32" width="11.453125" style="48" customWidth="1"/>
    <col min="33" max="33" width="11.453125" style="48" hidden="1" customWidth="1"/>
    <col min="34" max="16384" width="11.453125" style="48"/>
  </cols>
  <sheetData>
    <row r="4" spans="2:26" ht="14" x14ac:dyDescent="0.3">
      <c r="B4" s="290" t="s">
        <v>39</v>
      </c>
      <c r="C4" s="290"/>
      <c r="D4" s="290"/>
      <c r="E4" s="290"/>
      <c r="F4" s="290"/>
      <c r="G4" s="290"/>
      <c r="H4" s="290"/>
      <c r="I4" s="290"/>
      <c r="J4" s="290"/>
      <c r="K4" s="290"/>
      <c r="L4" s="290"/>
      <c r="M4" s="290"/>
      <c r="N4" s="216"/>
      <c r="O4" s="216"/>
      <c r="P4" s="216"/>
      <c r="Q4" s="216"/>
    </row>
    <row r="5" spans="2:26" ht="9" customHeight="1" x14ac:dyDescent="0.25"/>
    <row r="6" spans="2:26" ht="32.25" customHeight="1" thickBot="1" x14ac:dyDescent="0.3">
      <c r="B6" s="162" t="s">
        <v>93</v>
      </c>
      <c r="C6" s="293" t="s">
        <v>157</v>
      </c>
      <c r="D6" s="293"/>
      <c r="E6" s="293"/>
      <c r="F6" s="293"/>
      <c r="G6" s="293"/>
      <c r="H6" s="53"/>
      <c r="I6" s="53"/>
      <c r="J6" s="53"/>
      <c r="K6" s="53" t="s">
        <v>36</v>
      </c>
      <c r="L6" s="55">
        <f>ROUNDDOWN(Z17/0.25,0)*0.25</f>
        <v>0</v>
      </c>
      <c r="M6" s="54" t="str">
        <f>IF(L6&lt;1,"Unvollständig",IF(L6&lt;2,"Initial",IF(L6&lt;3,"Gemanagt",IF(L6&lt;4,"Definiert",IF(L6&lt;5,"Quantitativ gemanagt",IF(L6&lt;6,"Optimiert","Ausstehend"))))))</f>
        <v>Unvollständig</v>
      </c>
      <c r="N6" s="53"/>
      <c r="O6" s="53"/>
      <c r="P6" s="55"/>
      <c r="Q6" s="54"/>
    </row>
    <row r="7" spans="2:26" ht="35.25" hidden="1" customHeight="1" outlineLevel="1" x14ac:dyDescent="0.25">
      <c r="B7" s="76" t="s">
        <v>211</v>
      </c>
      <c r="C7" s="294" t="s">
        <v>275</v>
      </c>
      <c r="D7" s="295"/>
      <c r="E7" s="295"/>
      <c r="F7" s="295"/>
      <c r="G7" s="295"/>
      <c r="H7" s="295"/>
      <c r="I7" s="295"/>
      <c r="J7" s="295"/>
      <c r="K7" s="295"/>
      <c r="L7" s="295"/>
      <c r="M7" s="296"/>
      <c r="N7" s="218"/>
      <c r="O7" s="218"/>
      <c r="P7" s="218"/>
      <c r="Q7" s="218"/>
    </row>
    <row r="8" spans="2:26" ht="70.5" hidden="1" customHeight="1" outlineLevel="1" x14ac:dyDescent="0.25">
      <c r="B8" s="51" t="s">
        <v>212</v>
      </c>
      <c r="C8" s="297" t="s">
        <v>276</v>
      </c>
      <c r="D8" s="298"/>
      <c r="E8" s="298"/>
      <c r="F8" s="298"/>
      <c r="G8" s="298"/>
      <c r="H8" s="298"/>
      <c r="I8" s="298"/>
      <c r="J8" s="298"/>
      <c r="K8" s="298"/>
      <c r="L8" s="298"/>
      <c r="M8" s="299"/>
      <c r="N8" s="217"/>
      <c r="O8" s="217"/>
      <c r="P8" s="217"/>
      <c r="Q8" s="217"/>
    </row>
    <row r="9" spans="2:26" ht="91.5" hidden="1" customHeight="1" outlineLevel="1" x14ac:dyDescent="0.25">
      <c r="B9" s="51" t="s">
        <v>30</v>
      </c>
      <c r="C9" s="300" t="s">
        <v>277</v>
      </c>
      <c r="D9" s="301"/>
      <c r="E9" s="301"/>
      <c r="F9" s="301"/>
      <c r="G9" s="301"/>
      <c r="H9" s="301"/>
      <c r="I9" s="301"/>
      <c r="J9" s="301"/>
      <c r="K9" s="301"/>
      <c r="L9" s="301"/>
      <c r="M9" s="302"/>
      <c r="N9" s="218"/>
      <c r="O9" s="218"/>
      <c r="P9" s="218"/>
      <c r="Q9" s="218"/>
    </row>
    <row r="10" spans="2:26" ht="65.25" hidden="1" customHeight="1" outlineLevel="1" x14ac:dyDescent="0.25">
      <c r="B10" s="51" t="s">
        <v>31</v>
      </c>
      <c r="C10" s="300" t="s">
        <v>278</v>
      </c>
      <c r="D10" s="301"/>
      <c r="E10" s="301"/>
      <c r="F10" s="301"/>
      <c r="G10" s="301"/>
      <c r="H10" s="301"/>
      <c r="I10" s="301"/>
      <c r="J10" s="301"/>
      <c r="K10" s="301"/>
      <c r="L10" s="301"/>
      <c r="M10" s="302"/>
      <c r="N10" s="218"/>
      <c r="O10" s="218"/>
      <c r="P10" s="218"/>
      <c r="Q10" s="218"/>
    </row>
    <row r="11" spans="2:26" collapsed="1" x14ac:dyDescent="0.25"/>
    <row r="12" spans="2:26" ht="13" x14ac:dyDescent="0.3">
      <c r="B12" s="50" t="s">
        <v>33</v>
      </c>
      <c r="C12" s="49"/>
    </row>
    <row r="13" spans="2:26" ht="6.75" customHeight="1" x14ac:dyDescent="0.25"/>
    <row r="14" spans="2:26" ht="21.75" customHeight="1" x14ac:dyDescent="0.25">
      <c r="B14" s="52" t="s">
        <v>34</v>
      </c>
      <c r="C14" s="353" t="s">
        <v>37</v>
      </c>
      <c r="D14" s="354"/>
      <c r="E14" s="355"/>
      <c r="F14" s="341" t="s">
        <v>67</v>
      </c>
      <c r="G14" s="356"/>
      <c r="H14" s="341" t="s">
        <v>3</v>
      </c>
      <c r="I14" s="356"/>
      <c r="J14" s="341" t="s">
        <v>886</v>
      </c>
      <c r="K14" s="342"/>
      <c r="L14" s="342"/>
      <c r="M14" s="342"/>
      <c r="N14" s="341" t="s">
        <v>38</v>
      </c>
      <c r="O14" s="342"/>
      <c r="P14" s="342"/>
      <c r="Q14" s="342"/>
      <c r="T14" s="48" t="s">
        <v>35</v>
      </c>
      <c r="Y14" s="48" t="s">
        <v>45</v>
      </c>
      <c r="Z14" s="48" t="s">
        <v>44</v>
      </c>
    </row>
    <row r="15" spans="2:26" ht="1.5" customHeight="1" x14ac:dyDescent="0.3">
      <c r="B15" s="314"/>
      <c r="C15" s="314"/>
      <c r="D15" s="314"/>
      <c r="E15" s="314"/>
      <c r="F15" s="314"/>
      <c r="G15" s="314"/>
      <c r="H15" s="314"/>
      <c r="I15" s="314"/>
      <c r="J15" s="314"/>
      <c r="K15" s="314"/>
      <c r="L15" s="314"/>
      <c r="M15" s="314"/>
      <c r="N15" s="219"/>
      <c r="O15" s="219"/>
      <c r="P15" s="219"/>
      <c r="Q15" s="219"/>
    </row>
    <row r="16" spans="2:26" ht="50.15" customHeight="1" thickBot="1" x14ac:dyDescent="0.3">
      <c r="B16" s="323">
        <v>1</v>
      </c>
      <c r="C16" s="350" t="s">
        <v>1121</v>
      </c>
      <c r="D16" s="350"/>
      <c r="E16" s="350"/>
      <c r="F16" s="379" t="s">
        <v>280</v>
      </c>
      <c r="G16" s="380"/>
      <c r="H16" s="366" t="s">
        <v>42</v>
      </c>
      <c r="I16" s="366"/>
      <c r="J16" s="383" t="s">
        <v>29</v>
      </c>
      <c r="K16" s="383"/>
      <c r="L16" s="383"/>
      <c r="M16" s="383"/>
      <c r="N16" s="359"/>
      <c r="O16" s="359"/>
      <c r="P16" s="359"/>
      <c r="Q16" s="359"/>
      <c r="S16" s="49">
        <f t="shared" ref="S16:S30" si="0">IF(H16="Nicht anwendbar","n.a.",0)</f>
        <v>0</v>
      </c>
      <c r="T16" s="143">
        <f t="shared" ref="T16:T30" si="1">IF(H16="Vollständig",1,0)</f>
        <v>0</v>
      </c>
      <c r="U16" s="49">
        <f>IF(H16="In den meisten Fällen",0.75,0)</f>
        <v>0</v>
      </c>
      <c r="V16" s="49">
        <f>IF(H16="In ein Paar Fällen",0.5,0)</f>
        <v>0</v>
      </c>
      <c r="W16" s="49">
        <f>IF(H16="Gar nicht",0,0)</f>
        <v>0</v>
      </c>
    </row>
    <row r="17" spans="2:33" ht="50.15" customHeight="1" thickBot="1" x14ac:dyDescent="0.35">
      <c r="B17" s="326"/>
      <c r="C17" s="360" t="s">
        <v>279</v>
      </c>
      <c r="D17" s="360"/>
      <c r="E17" s="360"/>
      <c r="F17" s="381"/>
      <c r="G17" s="381"/>
      <c r="H17" s="375" t="s">
        <v>42</v>
      </c>
      <c r="I17" s="375"/>
      <c r="J17" s="384"/>
      <c r="K17" s="384"/>
      <c r="L17" s="384"/>
      <c r="M17" s="384"/>
      <c r="N17" s="378"/>
      <c r="O17" s="378"/>
      <c r="P17" s="378"/>
      <c r="Q17" s="378"/>
      <c r="S17" s="74">
        <f t="shared" si="0"/>
        <v>0</v>
      </c>
      <c r="T17" s="75">
        <f t="shared" si="1"/>
        <v>0</v>
      </c>
      <c r="U17" s="75">
        <f>IF(H17="In den meisten Fällen",0.75,0)</f>
        <v>0</v>
      </c>
      <c r="V17" s="75">
        <f>IF(H17="In ein Paar Fällen",0.5,0)</f>
        <v>0</v>
      </c>
      <c r="W17" s="75">
        <f>IF(H17="Gar nicht",0,0)</f>
        <v>0</v>
      </c>
      <c r="X17" s="143">
        <f>IFERROR(SUM(T16:W17)/COUNTIF(H16:H17,"&lt;&gt;Nicht anwendbar"),"n.a.")</f>
        <v>0</v>
      </c>
      <c r="Y17" s="48">
        <f>X17</f>
        <v>0</v>
      </c>
      <c r="Z17" s="48">
        <f>IF(Y17&lt;&gt;"n.a.",SUM(Y17,Y18,Y22,Y25,Y28),NA())</f>
        <v>0</v>
      </c>
      <c r="AG17" s="49" t="str">
        <f>IF(X17&gt;0.5,"Umgesetzt","Nicht umgesetzt")</f>
        <v>Nicht umgesetzt</v>
      </c>
    </row>
    <row r="18" spans="2:33" ht="50.15" customHeight="1" thickBot="1" x14ac:dyDescent="0.3">
      <c r="B18" s="325">
        <v>2</v>
      </c>
      <c r="C18" s="343" t="s">
        <v>281</v>
      </c>
      <c r="D18" s="343"/>
      <c r="E18" s="343"/>
      <c r="F18" s="361" t="s">
        <v>797</v>
      </c>
      <c r="G18" s="362"/>
      <c r="H18" s="382" t="s">
        <v>42</v>
      </c>
      <c r="I18" s="382"/>
      <c r="J18" s="351" t="s">
        <v>905</v>
      </c>
      <c r="K18" s="352"/>
      <c r="L18" s="352"/>
      <c r="M18" s="352"/>
      <c r="N18" s="272"/>
      <c r="O18" s="272"/>
      <c r="P18" s="272"/>
      <c r="Q18" s="272"/>
      <c r="S18" s="49">
        <f t="shared" si="0"/>
        <v>0</v>
      </c>
      <c r="T18" s="49">
        <f t="shared" si="1"/>
        <v>0</v>
      </c>
      <c r="U18" s="49">
        <f>IF(H18="In den meisten Fällen",0.75,0)</f>
        <v>0</v>
      </c>
      <c r="V18" s="49">
        <f>IF(H18="In ein Paar Fällen",0.5,0)</f>
        <v>0</v>
      </c>
      <c r="W18" s="49">
        <f>IF(H18="Gar nicht",0,0)</f>
        <v>0</v>
      </c>
      <c r="X18" s="143">
        <f>IFERROR(SUM(T18:W21)/COUNTIF(H18:H21,"&lt;&gt;Nicht anwendbar"),"n.a.")</f>
        <v>0</v>
      </c>
      <c r="Y18" s="48">
        <f>IF(X17=1,X18,0)</f>
        <v>0</v>
      </c>
      <c r="AG18" s="49" t="str">
        <f t="shared" ref="AG18:AG21" si="2">IF(X18&gt;0.5,"Umgesetzt","Nicht umgesetzt")</f>
        <v>Nicht umgesetzt</v>
      </c>
    </row>
    <row r="19" spans="2:33" ht="50.15" customHeight="1" thickBot="1" x14ac:dyDescent="0.3">
      <c r="B19" s="323"/>
      <c r="C19" s="330" t="s">
        <v>294</v>
      </c>
      <c r="D19" s="330"/>
      <c r="E19" s="330"/>
      <c r="F19" s="307"/>
      <c r="G19" s="307"/>
      <c r="H19" s="366" t="s">
        <v>42</v>
      </c>
      <c r="I19" s="366"/>
      <c r="J19" s="286"/>
      <c r="K19" s="286"/>
      <c r="L19" s="286"/>
      <c r="M19" s="286"/>
      <c r="N19" s="339"/>
      <c r="O19" s="339"/>
      <c r="P19" s="339"/>
      <c r="Q19" s="339"/>
      <c r="S19" s="49">
        <f t="shared" si="0"/>
        <v>0</v>
      </c>
      <c r="T19" s="49">
        <f t="shared" si="1"/>
        <v>0</v>
      </c>
      <c r="U19" s="49">
        <f t="shared" ref="U19:U25" si="3">IF(H19="In den meisten Fällen",0.75,0)</f>
        <v>0</v>
      </c>
      <c r="V19" s="49">
        <f t="shared" ref="V19:V25" si="4">IF(H19="In ein Paar Fällen",0.5,0)</f>
        <v>0</v>
      </c>
      <c r="W19" s="49">
        <f t="shared" ref="W19:W25" si="5">IF(H19="Gar nicht",0,0)</f>
        <v>0</v>
      </c>
      <c r="X19" s="49"/>
      <c r="AG19" s="49" t="str">
        <f t="shared" si="2"/>
        <v>Nicht umgesetzt</v>
      </c>
    </row>
    <row r="20" spans="2:33" ht="50.15" customHeight="1" thickBot="1" x14ac:dyDescent="0.3">
      <c r="B20" s="323"/>
      <c r="C20" s="330" t="s">
        <v>293</v>
      </c>
      <c r="D20" s="330"/>
      <c r="E20" s="330"/>
      <c r="F20" s="307"/>
      <c r="G20" s="307"/>
      <c r="H20" s="366" t="s">
        <v>42</v>
      </c>
      <c r="I20" s="366"/>
      <c r="J20" s="286"/>
      <c r="K20" s="286"/>
      <c r="L20" s="286"/>
      <c r="M20" s="286"/>
      <c r="N20" s="339"/>
      <c r="O20" s="339"/>
      <c r="P20" s="339"/>
      <c r="Q20" s="339"/>
      <c r="S20" s="49">
        <f t="shared" si="0"/>
        <v>0</v>
      </c>
      <c r="T20" s="49">
        <f t="shared" si="1"/>
        <v>0</v>
      </c>
      <c r="U20" s="49">
        <f t="shared" si="3"/>
        <v>0</v>
      </c>
      <c r="V20" s="49">
        <f t="shared" si="4"/>
        <v>0</v>
      </c>
      <c r="W20" s="49">
        <f t="shared" si="5"/>
        <v>0</v>
      </c>
      <c r="X20" s="49"/>
      <c r="AG20" s="49" t="str">
        <f t="shared" si="2"/>
        <v>Nicht umgesetzt</v>
      </c>
    </row>
    <row r="21" spans="2:33" ht="50.15" customHeight="1" thickBot="1" x14ac:dyDescent="0.3">
      <c r="B21" s="326"/>
      <c r="C21" s="308" t="s">
        <v>1122</v>
      </c>
      <c r="D21" s="308"/>
      <c r="E21" s="308"/>
      <c r="F21" s="308"/>
      <c r="G21" s="308"/>
      <c r="H21" s="340" t="s">
        <v>42</v>
      </c>
      <c r="I21" s="340"/>
      <c r="J21" s="275"/>
      <c r="K21" s="275"/>
      <c r="L21" s="275"/>
      <c r="M21" s="275"/>
      <c r="N21" s="339"/>
      <c r="O21" s="339"/>
      <c r="P21" s="339"/>
      <c r="Q21" s="339"/>
      <c r="S21" s="75">
        <f t="shared" si="0"/>
        <v>0</v>
      </c>
      <c r="T21" s="75">
        <f t="shared" si="1"/>
        <v>0</v>
      </c>
      <c r="U21" s="75">
        <f t="shared" si="3"/>
        <v>0</v>
      </c>
      <c r="V21" s="75">
        <f t="shared" si="4"/>
        <v>0</v>
      </c>
      <c r="W21" s="75">
        <f t="shared" si="5"/>
        <v>0</v>
      </c>
      <c r="X21" s="75"/>
      <c r="AG21" s="49" t="str">
        <f t="shared" si="2"/>
        <v>Nicht umgesetzt</v>
      </c>
    </row>
    <row r="22" spans="2:33" ht="50.15" customHeight="1" thickBot="1" x14ac:dyDescent="0.3">
      <c r="B22" s="325">
        <v>3</v>
      </c>
      <c r="C22" s="344" t="s">
        <v>283</v>
      </c>
      <c r="D22" s="345"/>
      <c r="E22" s="345"/>
      <c r="F22" s="370" t="s">
        <v>295</v>
      </c>
      <c r="G22" s="371"/>
      <c r="H22" s="365" t="s">
        <v>42</v>
      </c>
      <c r="I22" s="365"/>
      <c r="J22" s="357" t="s">
        <v>904</v>
      </c>
      <c r="K22" s="358"/>
      <c r="L22" s="358"/>
      <c r="M22" s="358"/>
      <c r="N22" s="272"/>
      <c r="O22" s="272"/>
      <c r="P22" s="272"/>
      <c r="Q22" s="272"/>
      <c r="S22" s="48">
        <f t="shared" si="0"/>
        <v>0</v>
      </c>
      <c r="T22" s="49">
        <f t="shared" si="1"/>
        <v>0</v>
      </c>
      <c r="U22" s="49">
        <f t="shared" si="3"/>
        <v>0</v>
      </c>
      <c r="V22" s="49">
        <f t="shared" si="4"/>
        <v>0</v>
      </c>
      <c r="W22" s="49">
        <f t="shared" si="5"/>
        <v>0</v>
      </c>
      <c r="X22" s="143">
        <f>IFERROR(SUM(T22:W25)/COUNTIF(H22:H25,"&lt;&gt;Nicht anwendbar"),"n.a.")</f>
        <v>0</v>
      </c>
      <c r="Y22" s="48">
        <f>IF(Y18=1,X22,0)</f>
        <v>0</v>
      </c>
    </row>
    <row r="23" spans="2:33" ht="50.15" customHeight="1" thickBot="1" x14ac:dyDescent="0.3">
      <c r="B23" s="323"/>
      <c r="C23" s="347" t="s">
        <v>290</v>
      </c>
      <c r="D23" s="348"/>
      <c r="E23" s="348"/>
      <c r="F23" s="337"/>
      <c r="G23" s="337"/>
      <c r="H23" s="366" t="s">
        <v>42</v>
      </c>
      <c r="I23" s="366"/>
      <c r="J23" s="282"/>
      <c r="K23" s="282"/>
      <c r="L23" s="282"/>
      <c r="M23" s="282"/>
      <c r="N23" s="339"/>
      <c r="O23" s="339"/>
      <c r="P23" s="339"/>
      <c r="Q23" s="339"/>
      <c r="S23" s="48">
        <f t="shared" si="0"/>
        <v>0</v>
      </c>
      <c r="T23" s="49">
        <f t="shared" si="1"/>
        <v>0</v>
      </c>
      <c r="U23" s="49">
        <f t="shared" si="3"/>
        <v>0</v>
      </c>
      <c r="V23" s="49">
        <f t="shared" si="4"/>
        <v>0</v>
      </c>
      <c r="W23" s="49">
        <f t="shared" si="5"/>
        <v>0</v>
      </c>
    </row>
    <row r="24" spans="2:33" ht="50.15" customHeight="1" thickBot="1" x14ac:dyDescent="0.3">
      <c r="B24" s="323"/>
      <c r="C24" s="347" t="s">
        <v>282</v>
      </c>
      <c r="D24" s="348"/>
      <c r="E24" s="348"/>
      <c r="F24" s="337"/>
      <c r="G24" s="337"/>
      <c r="H24" s="366" t="s">
        <v>42</v>
      </c>
      <c r="I24" s="366"/>
      <c r="J24" s="270"/>
      <c r="K24" s="270"/>
      <c r="L24" s="270"/>
      <c r="M24" s="270"/>
      <c r="N24" s="309"/>
      <c r="O24" s="309"/>
      <c r="P24" s="309"/>
      <c r="Q24" s="309"/>
      <c r="S24" s="75">
        <f t="shared" si="0"/>
        <v>0</v>
      </c>
      <c r="T24" s="75">
        <f t="shared" si="1"/>
        <v>0</v>
      </c>
      <c r="U24" s="75">
        <f t="shared" si="3"/>
        <v>0</v>
      </c>
      <c r="V24" s="75">
        <f t="shared" si="4"/>
        <v>0</v>
      </c>
      <c r="W24" s="75">
        <f t="shared" si="5"/>
        <v>0</v>
      </c>
      <c r="X24" s="75"/>
    </row>
    <row r="25" spans="2:33" ht="50.15" customHeight="1" thickBot="1" x14ac:dyDescent="0.3">
      <c r="B25" s="325">
        <v>4</v>
      </c>
      <c r="C25" s="343" t="s">
        <v>285</v>
      </c>
      <c r="D25" s="343"/>
      <c r="E25" s="343"/>
      <c r="F25" s="361" t="s">
        <v>291</v>
      </c>
      <c r="G25" s="362"/>
      <c r="H25" s="366" t="s">
        <v>42</v>
      </c>
      <c r="I25" s="366"/>
      <c r="J25" s="351" t="s">
        <v>903</v>
      </c>
      <c r="K25" s="352"/>
      <c r="L25" s="352"/>
      <c r="M25" s="352"/>
      <c r="N25" s="339"/>
      <c r="O25" s="339"/>
      <c r="P25" s="339"/>
      <c r="Q25" s="339"/>
      <c r="S25" s="49">
        <f t="shared" si="0"/>
        <v>0</v>
      </c>
      <c r="T25" s="49">
        <f t="shared" si="1"/>
        <v>0</v>
      </c>
      <c r="U25" s="49">
        <f t="shared" si="3"/>
        <v>0</v>
      </c>
      <c r="V25" s="49">
        <f t="shared" si="4"/>
        <v>0</v>
      </c>
      <c r="W25" s="49">
        <f t="shared" si="5"/>
        <v>0</v>
      </c>
      <c r="X25" s="143">
        <f>IFERROR(SUM(T25:W28)/COUNTIF(H25:H28,"&lt;&gt;Nicht anwendbar"),"n.a.")</f>
        <v>0</v>
      </c>
      <c r="Y25" s="48">
        <f>IF(Y22=1,X25,0)</f>
        <v>0</v>
      </c>
    </row>
    <row r="26" spans="2:33" ht="50.15" customHeight="1" thickBot="1" x14ac:dyDescent="0.3">
      <c r="B26" s="323"/>
      <c r="C26" s="347" t="s">
        <v>292</v>
      </c>
      <c r="D26" s="348"/>
      <c r="E26" s="348"/>
      <c r="F26" s="350"/>
      <c r="G26" s="307"/>
      <c r="H26" s="366" t="s">
        <v>42</v>
      </c>
      <c r="I26" s="366"/>
      <c r="J26" s="286"/>
      <c r="K26" s="286"/>
      <c r="L26" s="286"/>
      <c r="M26" s="286"/>
      <c r="N26" s="339"/>
      <c r="O26" s="339"/>
      <c r="P26" s="339"/>
      <c r="Q26" s="339"/>
      <c r="S26" s="49">
        <f t="shared" si="0"/>
        <v>0</v>
      </c>
      <c r="T26" s="49">
        <f t="shared" si="1"/>
        <v>0</v>
      </c>
      <c r="U26" s="49">
        <f t="shared" ref="U26:U30" si="6">IF(H26="In den meisten Fällen",0.75,0)</f>
        <v>0</v>
      </c>
      <c r="V26" s="49">
        <f t="shared" ref="V26:V30" si="7">IF(H26="In ein Paar Fällen",0.5,0)</f>
        <v>0</v>
      </c>
      <c r="W26" s="49">
        <f t="shared" ref="W26:W30" si="8">IF(H26="Gar nicht",0,0)</f>
        <v>0</v>
      </c>
      <c r="X26" s="49"/>
    </row>
    <row r="27" spans="2:33" ht="50.15" customHeight="1" thickBot="1" x14ac:dyDescent="0.3">
      <c r="B27" s="326"/>
      <c r="C27" s="350" t="s">
        <v>284</v>
      </c>
      <c r="D27" s="350"/>
      <c r="E27" s="350"/>
      <c r="F27" s="308"/>
      <c r="G27" s="308"/>
      <c r="H27" s="366" t="s">
        <v>42</v>
      </c>
      <c r="I27" s="366"/>
      <c r="J27" s="275"/>
      <c r="K27" s="275"/>
      <c r="L27" s="275"/>
      <c r="M27" s="275"/>
      <c r="N27" s="309"/>
      <c r="O27" s="309"/>
      <c r="P27" s="309"/>
      <c r="Q27" s="309"/>
      <c r="S27" s="75">
        <f t="shared" si="0"/>
        <v>0</v>
      </c>
      <c r="T27" s="75">
        <f t="shared" si="1"/>
        <v>0</v>
      </c>
      <c r="U27" s="75">
        <f t="shared" si="6"/>
        <v>0</v>
      </c>
      <c r="V27" s="75">
        <f t="shared" si="7"/>
        <v>0</v>
      </c>
      <c r="W27" s="75">
        <f t="shared" si="8"/>
        <v>0</v>
      </c>
      <c r="X27" s="75"/>
    </row>
    <row r="28" spans="2:33" ht="50.15" customHeight="1" thickBot="1" x14ac:dyDescent="0.3">
      <c r="B28" s="325">
        <v>5</v>
      </c>
      <c r="C28" s="343" t="s">
        <v>287</v>
      </c>
      <c r="D28" s="343"/>
      <c r="E28" s="343"/>
      <c r="F28" s="361" t="s">
        <v>289</v>
      </c>
      <c r="G28" s="362"/>
      <c r="H28" s="366" t="s">
        <v>42</v>
      </c>
      <c r="I28" s="366"/>
      <c r="J28" s="351" t="s">
        <v>902</v>
      </c>
      <c r="K28" s="352"/>
      <c r="L28" s="352"/>
      <c r="M28" s="352"/>
      <c r="N28" s="339"/>
      <c r="O28" s="339"/>
      <c r="P28" s="339"/>
      <c r="Q28" s="339"/>
      <c r="S28" s="48">
        <f t="shared" si="0"/>
        <v>0</v>
      </c>
      <c r="T28" s="49">
        <f t="shared" si="1"/>
        <v>0</v>
      </c>
      <c r="U28" s="49">
        <f t="shared" si="6"/>
        <v>0</v>
      </c>
      <c r="V28" s="49">
        <f t="shared" si="7"/>
        <v>0</v>
      </c>
      <c r="W28" s="49">
        <f t="shared" si="8"/>
        <v>0</v>
      </c>
      <c r="X28" s="143">
        <f>IFERROR(SUM(T28:W31)/COUNTIF(H28:H31,"&lt;&gt;Nicht anwendbar"),"n.a.")</f>
        <v>0</v>
      </c>
      <c r="Y28" s="48">
        <f>IF(Y25=1,X28,0)</f>
        <v>0</v>
      </c>
    </row>
    <row r="29" spans="2:33" ht="50.15" customHeight="1" thickBot="1" x14ac:dyDescent="0.3">
      <c r="B29" s="323"/>
      <c r="C29" s="347" t="s">
        <v>288</v>
      </c>
      <c r="D29" s="348"/>
      <c r="E29" s="348"/>
      <c r="F29" s="350"/>
      <c r="G29" s="307"/>
      <c r="H29" s="366" t="s">
        <v>42</v>
      </c>
      <c r="I29" s="366"/>
      <c r="J29" s="286"/>
      <c r="K29" s="286"/>
      <c r="L29" s="286"/>
      <c r="M29" s="286"/>
      <c r="N29" s="339"/>
      <c r="O29" s="339"/>
      <c r="P29" s="339"/>
      <c r="Q29" s="339"/>
      <c r="S29" s="49">
        <f t="shared" si="0"/>
        <v>0</v>
      </c>
      <c r="T29" s="49">
        <f t="shared" si="1"/>
        <v>0</v>
      </c>
      <c r="U29" s="49">
        <f t="shared" si="6"/>
        <v>0</v>
      </c>
      <c r="V29" s="49">
        <f t="shared" si="7"/>
        <v>0</v>
      </c>
      <c r="W29" s="49">
        <f t="shared" si="8"/>
        <v>0</v>
      </c>
      <c r="X29" s="49"/>
    </row>
    <row r="30" spans="2:33" ht="50.15" customHeight="1" thickBot="1" x14ac:dyDescent="0.3">
      <c r="B30" s="326"/>
      <c r="C30" s="374" t="s">
        <v>286</v>
      </c>
      <c r="D30" s="374"/>
      <c r="E30" s="374"/>
      <c r="F30" s="376"/>
      <c r="G30" s="376"/>
      <c r="H30" s="340" t="s">
        <v>42</v>
      </c>
      <c r="I30" s="340"/>
      <c r="J30" s="377"/>
      <c r="K30" s="377"/>
      <c r="L30" s="377"/>
      <c r="M30" s="377"/>
      <c r="N30" s="309"/>
      <c r="O30" s="309"/>
      <c r="P30" s="309"/>
      <c r="Q30" s="309"/>
      <c r="S30" s="75">
        <f t="shared" si="0"/>
        <v>0</v>
      </c>
      <c r="T30" s="75">
        <f t="shared" si="1"/>
        <v>0</v>
      </c>
      <c r="U30" s="75">
        <f t="shared" si="6"/>
        <v>0</v>
      </c>
      <c r="V30" s="75">
        <f t="shared" si="7"/>
        <v>0</v>
      </c>
      <c r="W30" s="75">
        <f t="shared" si="8"/>
        <v>0</v>
      </c>
      <c r="X30" s="75"/>
    </row>
  </sheetData>
  <sheetProtection formatCells="0"/>
  <protectedRanges>
    <protectedRange sqref="N31:Q32" name="Bereich1"/>
    <protectedRange sqref="N18:Q18 N22:Q22" name="Bereich1_1"/>
  </protectedRanges>
  <mergeCells count="72">
    <mergeCell ref="J16:M17"/>
    <mergeCell ref="J18:M21"/>
    <mergeCell ref="J22:M24"/>
    <mergeCell ref="J25:M27"/>
    <mergeCell ref="J28:M30"/>
    <mergeCell ref="B28:B30"/>
    <mergeCell ref="C28:E28"/>
    <mergeCell ref="F28:G30"/>
    <mergeCell ref="H28:I28"/>
    <mergeCell ref="C29:E29"/>
    <mergeCell ref="H29:I29"/>
    <mergeCell ref="H24:I24"/>
    <mergeCell ref="C30:E30"/>
    <mergeCell ref="H30:I30"/>
    <mergeCell ref="C25:E25"/>
    <mergeCell ref="H25:I25"/>
    <mergeCell ref="C27:E27"/>
    <mergeCell ref="H27:I27"/>
    <mergeCell ref="C26:E26"/>
    <mergeCell ref="H26:I26"/>
    <mergeCell ref="B15:M15"/>
    <mergeCell ref="B4:M4"/>
    <mergeCell ref="C6:G6"/>
    <mergeCell ref="C7:M7"/>
    <mergeCell ref="C8:M8"/>
    <mergeCell ref="C9:M9"/>
    <mergeCell ref="C10:M10"/>
    <mergeCell ref="C14:E14"/>
    <mergeCell ref="F14:G14"/>
    <mergeCell ref="H14:I14"/>
    <mergeCell ref="J14:M14"/>
    <mergeCell ref="H22:I22"/>
    <mergeCell ref="H21:I21"/>
    <mergeCell ref="H23:I23"/>
    <mergeCell ref="B18:B21"/>
    <mergeCell ref="B16:B17"/>
    <mergeCell ref="F16:G17"/>
    <mergeCell ref="C16:E16"/>
    <mergeCell ref="C17:E17"/>
    <mergeCell ref="H16:I16"/>
    <mergeCell ref="H17:I17"/>
    <mergeCell ref="H18:I18"/>
    <mergeCell ref="H19:I19"/>
    <mergeCell ref="H20:I20"/>
    <mergeCell ref="B25:B27"/>
    <mergeCell ref="B22:B24"/>
    <mergeCell ref="F18:G21"/>
    <mergeCell ref="F22:G24"/>
    <mergeCell ref="F25:G27"/>
    <mergeCell ref="C18:E18"/>
    <mergeCell ref="C19:E19"/>
    <mergeCell ref="C20:E20"/>
    <mergeCell ref="C22:E22"/>
    <mergeCell ref="C23:E23"/>
    <mergeCell ref="C21:E21"/>
    <mergeCell ref="C24:E24"/>
    <mergeCell ref="N14:Q14"/>
    <mergeCell ref="N16:Q16"/>
    <mergeCell ref="N17:Q17"/>
    <mergeCell ref="N18:Q18"/>
    <mergeCell ref="N19:Q19"/>
    <mergeCell ref="N20:Q20"/>
    <mergeCell ref="N21:Q21"/>
    <mergeCell ref="N22:Q22"/>
    <mergeCell ref="N23:Q23"/>
    <mergeCell ref="N24:Q24"/>
    <mergeCell ref="N25:Q25"/>
    <mergeCell ref="N26:Q26"/>
    <mergeCell ref="N27:Q27"/>
    <mergeCell ref="N29:Q29"/>
    <mergeCell ref="N30:Q30"/>
    <mergeCell ref="N28:Q28"/>
  </mergeCells>
  <conditionalFormatting sqref="H27:I27 H26 H30:I30 H16:I25">
    <cfRule type="containsText" dxfId="61" priority="3" operator="containsText" text="Bitte auswählen">
      <formula>NOT(ISERROR(SEARCH("Bitte auswählen",H16)))</formula>
    </cfRule>
  </conditionalFormatting>
  <conditionalFormatting sqref="H29">
    <cfRule type="containsText" dxfId="60" priority="2" operator="containsText" text="Bitte auswählen">
      <formula>NOT(ISERROR(SEARCH("Bitte auswählen",H29)))</formula>
    </cfRule>
  </conditionalFormatting>
  <conditionalFormatting sqref="H28:I28">
    <cfRule type="containsText" dxfId="59" priority="1" operator="containsText" text="Bitte auswählen">
      <formula>NOT(ISERROR(SEARCH("Bitte auswählen",H28)))</formula>
    </cfRule>
  </conditionalFormatting>
  <dataValidations xWindow="759" yWindow="389" count="2">
    <dataValidation allowBlank="1" showInputMessage="1" showErrorMessage="1" promptTitle="[+] Klicken" prompt="Hier können Sie sich erweiterte Informationen zu dem Prozess anzeigen lassen." sqref="A11" xr:uid="{00000000-0002-0000-0900-000000000000}"/>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4D7452AA-0A56-4B44-B904-87921364C227}"/>
  </dataValidations>
  <pageMargins left="0.23622047244094491" right="0.23622047244094491" top="0.74803149606299213" bottom="0.74803149606299213" header="0.31496062992125984" footer="0.31496062992125984"/>
  <pageSetup paperSize="9" scale="46" orientation="landscape" horizontalDpi="4294967293"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759" yWindow="389" count="1">
        <x14:dataValidation type="list" allowBlank="1" showInputMessage="1" showErrorMessage="1" xr:uid="{00000000-0002-0000-0900-000001000000}">
          <x14:formula1>
            <xm:f>Data!$I$3:$I$8</xm:f>
          </x14:formula1>
          <xm:sqref>I27 H30:I30 H16:H29 I16:I25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333399"/>
    <pageSetUpPr fitToPage="1"/>
  </sheetPr>
  <dimension ref="B4:AG30"/>
  <sheetViews>
    <sheetView showGridLines="0" zoomScale="90" zoomScaleNormal="90" zoomScalePageLayoutView="85" workbookViewId="0"/>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32.26953125" style="48" hidden="1" customWidth="1" outlineLevel="1"/>
    <col min="7" max="7" width="63.1796875" style="48" hidden="1" customWidth="1" outlineLevel="1"/>
    <col min="8" max="8" width="11.453125" style="48" collapsed="1"/>
    <col min="9" max="10" width="11.453125" style="48"/>
    <col min="11" max="11" width="13.26953125" style="48" customWidth="1"/>
    <col min="12" max="12" width="11.453125" style="48"/>
    <col min="13" max="13" width="34.26953125" style="48" customWidth="1"/>
    <col min="14" max="14" width="11.453125" style="48"/>
    <col min="15" max="15" width="13.26953125" style="48" customWidth="1"/>
    <col min="16" max="16" width="11.453125" style="48"/>
    <col min="17" max="17" width="24.81640625" style="48" customWidth="1"/>
    <col min="18" max="18" width="11.453125" style="49"/>
    <col min="19" max="24" width="11.453125" style="48" customWidth="1"/>
    <col min="25" max="25" width="14" style="48" customWidth="1"/>
    <col min="26" max="32" width="11.453125" style="48" customWidth="1"/>
    <col min="33" max="33" width="11.453125" style="48" hidden="1" customWidth="1"/>
    <col min="34" max="16384" width="11.453125" style="48"/>
  </cols>
  <sheetData>
    <row r="4" spans="2:26" ht="14" x14ac:dyDescent="0.3">
      <c r="B4" s="290" t="s">
        <v>39</v>
      </c>
      <c r="C4" s="290"/>
      <c r="D4" s="290"/>
      <c r="E4" s="290"/>
      <c r="F4" s="290"/>
      <c r="G4" s="290"/>
      <c r="H4" s="290"/>
      <c r="I4" s="290"/>
      <c r="J4" s="290"/>
      <c r="K4" s="290"/>
      <c r="L4" s="290"/>
      <c r="M4" s="290"/>
      <c r="N4" s="216"/>
      <c r="O4" s="216"/>
      <c r="P4" s="216"/>
      <c r="Q4" s="216"/>
    </row>
    <row r="5" spans="2:26" ht="9" customHeight="1" x14ac:dyDescent="0.25"/>
    <row r="6" spans="2:26" ht="32.25" customHeight="1" thickBot="1" x14ac:dyDescent="0.3">
      <c r="B6" s="162" t="s">
        <v>94</v>
      </c>
      <c r="C6" s="293" t="s">
        <v>158</v>
      </c>
      <c r="D6" s="293"/>
      <c r="E6" s="293"/>
      <c r="F6" s="293"/>
      <c r="G6" s="293"/>
      <c r="H6" s="53"/>
      <c r="I6" s="53"/>
      <c r="J6" s="53"/>
      <c r="K6" s="53" t="s">
        <v>36</v>
      </c>
      <c r="L6" s="55">
        <f>ROUNDDOWN(Z17/0.25,0)*0.25</f>
        <v>0</v>
      </c>
      <c r="M6" s="54" t="str">
        <f>IF(L6&lt;1,"Unvollständig",IF(L6&lt;2,"Initial",IF(L6&lt;3,"Gemanagt",IF(L6&lt;4,"Definiert",IF(L6&lt;5,"Quantitativ gemanagt",IF(L6&lt;6,"Optimiert","Ausstehend"))))))</f>
        <v>Unvollständig</v>
      </c>
      <c r="N6" s="53"/>
      <c r="O6" s="53"/>
      <c r="P6" s="55"/>
      <c r="Q6" s="54"/>
    </row>
    <row r="7" spans="2:26" ht="35.25" hidden="1" customHeight="1" outlineLevel="1" x14ac:dyDescent="0.25">
      <c r="B7" s="76" t="s">
        <v>211</v>
      </c>
      <c r="C7" s="294" t="s">
        <v>296</v>
      </c>
      <c r="D7" s="295"/>
      <c r="E7" s="295"/>
      <c r="F7" s="295"/>
      <c r="G7" s="295"/>
      <c r="H7" s="295"/>
      <c r="I7" s="295"/>
      <c r="J7" s="295"/>
      <c r="K7" s="295"/>
      <c r="L7" s="295"/>
      <c r="M7" s="296"/>
      <c r="N7" s="218"/>
      <c r="O7" s="218"/>
      <c r="P7" s="218"/>
      <c r="Q7" s="218"/>
    </row>
    <row r="8" spans="2:26" ht="50.25" hidden="1" customHeight="1" outlineLevel="1" x14ac:dyDescent="0.25">
      <c r="B8" s="51" t="s">
        <v>212</v>
      </c>
      <c r="C8" s="297" t="s">
        <v>297</v>
      </c>
      <c r="D8" s="298"/>
      <c r="E8" s="298"/>
      <c r="F8" s="298"/>
      <c r="G8" s="298"/>
      <c r="H8" s="298"/>
      <c r="I8" s="298"/>
      <c r="J8" s="298"/>
      <c r="K8" s="298"/>
      <c r="L8" s="298"/>
      <c r="M8" s="299"/>
      <c r="N8" s="217"/>
      <c r="O8" s="217"/>
      <c r="P8" s="217"/>
      <c r="Q8" s="217"/>
    </row>
    <row r="9" spans="2:26" ht="92.25" hidden="1" customHeight="1" outlineLevel="1" x14ac:dyDescent="0.25">
      <c r="B9" s="51" t="s">
        <v>30</v>
      </c>
      <c r="C9" s="300" t="s">
        <v>315</v>
      </c>
      <c r="D9" s="301"/>
      <c r="E9" s="301"/>
      <c r="F9" s="301"/>
      <c r="G9" s="301"/>
      <c r="H9" s="301"/>
      <c r="I9" s="301"/>
      <c r="J9" s="301"/>
      <c r="K9" s="301"/>
      <c r="L9" s="301"/>
      <c r="M9" s="302"/>
      <c r="N9" s="218"/>
      <c r="O9" s="218"/>
      <c r="P9" s="218"/>
      <c r="Q9" s="218"/>
    </row>
    <row r="10" spans="2:26" ht="65.25" hidden="1" customHeight="1" outlineLevel="1" x14ac:dyDescent="0.25">
      <c r="B10" s="51" t="s">
        <v>31</v>
      </c>
      <c r="C10" s="300" t="s">
        <v>314</v>
      </c>
      <c r="D10" s="301"/>
      <c r="E10" s="301"/>
      <c r="F10" s="301"/>
      <c r="G10" s="301"/>
      <c r="H10" s="301"/>
      <c r="I10" s="301"/>
      <c r="J10" s="301"/>
      <c r="K10" s="301"/>
      <c r="L10" s="301"/>
      <c r="M10" s="302"/>
      <c r="N10" s="218"/>
      <c r="O10" s="218"/>
      <c r="P10" s="218"/>
      <c r="Q10" s="218"/>
    </row>
    <row r="11" spans="2:26" collapsed="1" x14ac:dyDescent="0.25"/>
    <row r="12" spans="2:26" ht="13" x14ac:dyDescent="0.3">
      <c r="B12" s="50" t="s">
        <v>33</v>
      </c>
      <c r="C12" s="49"/>
    </row>
    <row r="13" spans="2:26" ht="6.75" customHeight="1" x14ac:dyDescent="0.25"/>
    <row r="14" spans="2:26" ht="21.75" customHeight="1" thickBot="1" x14ac:dyDescent="0.3">
      <c r="B14" s="52" t="s">
        <v>34</v>
      </c>
      <c r="C14" s="353" t="s">
        <v>37</v>
      </c>
      <c r="D14" s="354"/>
      <c r="E14" s="354"/>
      <c r="F14" s="341" t="s">
        <v>67</v>
      </c>
      <c r="G14" s="356"/>
      <c r="H14" s="341" t="s">
        <v>3</v>
      </c>
      <c r="I14" s="356"/>
      <c r="J14" s="341" t="s">
        <v>886</v>
      </c>
      <c r="K14" s="342"/>
      <c r="L14" s="342"/>
      <c r="M14" s="342"/>
      <c r="N14" s="341" t="s">
        <v>38</v>
      </c>
      <c r="O14" s="342"/>
      <c r="P14" s="342"/>
      <c r="Q14" s="342"/>
      <c r="S14" s="141"/>
      <c r="T14" s="141" t="s">
        <v>35</v>
      </c>
      <c r="U14" s="141"/>
      <c r="V14" s="141"/>
      <c r="W14" s="141"/>
      <c r="X14" s="141"/>
      <c r="Y14" s="141" t="s">
        <v>45</v>
      </c>
      <c r="Z14" s="141" t="s">
        <v>44</v>
      </c>
    </row>
    <row r="15" spans="2:26" ht="1.5" customHeight="1" x14ac:dyDescent="0.3">
      <c r="B15" s="314"/>
      <c r="C15" s="314"/>
      <c r="D15" s="314"/>
      <c r="E15" s="314"/>
      <c r="F15" s="314"/>
      <c r="G15" s="314"/>
      <c r="H15" s="314"/>
      <c r="I15" s="314"/>
      <c r="J15" s="314"/>
      <c r="K15" s="314"/>
      <c r="L15" s="314"/>
      <c r="M15" s="314"/>
      <c r="N15" s="219"/>
      <c r="O15" s="219"/>
      <c r="P15" s="219"/>
      <c r="Q15" s="219"/>
    </row>
    <row r="16" spans="2:26" s="148" customFormat="1" ht="40" customHeight="1" thickBot="1" x14ac:dyDescent="0.3">
      <c r="B16" s="323">
        <v>1</v>
      </c>
      <c r="C16" s="279" t="s">
        <v>1165</v>
      </c>
      <c r="D16" s="387"/>
      <c r="E16" s="387"/>
      <c r="F16" s="379" t="s">
        <v>308</v>
      </c>
      <c r="G16" s="385"/>
      <c r="H16" s="366" t="s">
        <v>42</v>
      </c>
      <c r="I16" s="366"/>
      <c r="J16" s="383" t="s">
        <v>29</v>
      </c>
      <c r="K16" s="383"/>
      <c r="L16" s="383"/>
      <c r="M16" s="383"/>
      <c r="N16" s="359"/>
      <c r="O16" s="359"/>
      <c r="P16" s="359"/>
      <c r="Q16" s="359"/>
      <c r="R16" s="147"/>
      <c r="S16" s="49">
        <f t="shared" ref="S16:S30" si="0">IF(H16="Nicht anwendbar","n.a.",0)</f>
        <v>0</v>
      </c>
      <c r="T16" s="49">
        <f t="shared" ref="T16:T30" si="1">IF(H16="Vollständig",1,0)</f>
        <v>0</v>
      </c>
      <c r="U16" s="49">
        <f>IF(H16="In den meisten Fällen",0.75,0)</f>
        <v>0</v>
      </c>
      <c r="V16" s="49">
        <f>IF(H16="In ein Paar Fällen",0.5,0)</f>
        <v>0</v>
      </c>
      <c r="W16" s="49">
        <f>IF(H16="Gar nicht",0,0)</f>
        <v>0</v>
      </c>
    </row>
    <row r="17" spans="2:33" ht="40" customHeight="1" thickBot="1" x14ac:dyDescent="0.35">
      <c r="B17" s="326"/>
      <c r="C17" s="310" t="s">
        <v>298</v>
      </c>
      <c r="D17" s="310"/>
      <c r="E17" s="310"/>
      <c r="F17" s="308"/>
      <c r="G17" s="308"/>
      <c r="H17" s="340" t="s">
        <v>42</v>
      </c>
      <c r="I17" s="340"/>
      <c r="J17" s="384"/>
      <c r="K17" s="384"/>
      <c r="L17" s="384"/>
      <c r="M17" s="384"/>
      <c r="N17" s="378"/>
      <c r="O17" s="378"/>
      <c r="P17" s="378"/>
      <c r="Q17" s="378"/>
      <c r="S17" s="151">
        <f t="shared" si="0"/>
        <v>0</v>
      </c>
      <c r="T17" s="150">
        <f t="shared" si="1"/>
        <v>0</v>
      </c>
      <c r="U17" s="150">
        <f>IF(H17="In den meisten Fällen",0.75,0)</f>
        <v>0</v>
      </c>
      <c r="V17" s="150">
        <f>IF(H17="In ein Paar Fällen",0.5,0)</f>
        <v>0</v>
      </c>
      <c r="W17" s="150">
        <f>IF(H17="Gar nicht",0,0)</f>
        <v>0</v>
      </c>
      <c r="X17" s="150">
        <f>IFERROR(SUM(T16:W17)/COUNTIF(H16:H17,"&lt;&gt;Nicht anwendbar"),"n.a.")</f>
        <v>0</v>
      </c>
      <c r="Y17" s="48">
        <f>X17</f>
        <v>0</v>
      </c>
      <c r="Z17" s="48">
        <f>IF(Y17&lt;&gt;"n.a.",SUM(Y17,Y18,Y20,Y24,Y28),NA())</f>
        <v>0</v>
      </c>
      <c r="AG17" s="49" t="str">
        <f t="shared" ref="AG17:AG19" si="2">IF(X17&gt;0.5,"Umgesetzt","Nicht umgesetzt")</f>
        <v>Nicht umgesetzt</v>
      </c>
    </row>
    <row r="18" spans="2:33" ht="40" customHeight="1" thickBot="1" x14ac:dyDescent="0.3">
      <c r="B18" s="325">
        <v>2</v>
      </c>
      <c r="C18" s="343" t="s">
        <v>798</v>
      </c>
      <c r="D18" s="343"/>
      <c r="E18" s="343"/>
      <c r="F18" s="361" t="s">
        <v>309</v>
      </c>
      <c r="G18" s="362"/>
      <c r="H18" s="365" t="s">
        <v>42</v>
      </c>
      <c r="I18" s="365"/>
      <c r="J18" s="352" t="s">
        <v>906</v>
      </c>
      <c r="K18" s="352"/>
      <c r="L18" s="352"/>
      <c r="M18" s="352"/>
      <c r="N18" s="272"/>
      <c r="O18" s="272"/>
      <c r="P18" s="272"/>
      <c r="Q18" s="272"/>
      <c r="S18" s="49">
        <f t="shared" si="0"/>
        <v>0</v>
      </c>
      <c r="T18" s="49">
        <f t="shared" si="1"/>
        <v>0</v>
      </c>
      <c r="U18" s="49">
        <f>IF(H18="In den meisten Fällen",0.75,0)</f>
        <v>0</v>
      </c>
      <c r="V18" s="49">
        <f>IF(H18="In ein Paar Fällen",0.5,0)</f>
        <v>0</v>
      </c>
      <c r="W18" s="49">
        <f>IF(H18="Gar nicht",0,0)</f>
        <v>0</v>
      </c>
      <c r="X18" s="143">
        <f>IFERROR(SUM(T18:W19)/COUNTIF(H18:H19,"&lt;&gt;Nicht anwendbar"),"n.a.")</f>
        <v>0</v>
      </c>
      <c r="Y18" s="48">
        <f>IF(X17=1,X18,0)</f>
        <v>0</v>
      </c>
      <c r="AG18" s="49" t="str">
        <f t="shared" si="2"/>
        <v>Nicht umgesetzt</v>
      </c>
    </row>
    <row r="19" spans="2:33" ht="40" customHeight="1" thickBot="1" x14ac:dyDescent="0.3">
      <c r="B19" s="326"/>
      <c r="C19" s="310" t="s">
        <v>779</v>
      </c>
      <c r="D19" s="310"/>
      <c r="E19" s="310"/>
      <c r="F19" s="308"/>
      <c r="G19" s="308"/>
      <c r="H19" s="366" t="s">
        <v>42</v>
      </c>
      <c r="I19" s="366"/>
      <c r="J19" s="275"/>
      <c r="K19" s="275"/>
      <c r="L19" s="275"/>
      <c r="M19" s="275"/>
      <c r="N19" s="378"/>
      <c r="O19" s="378"/>
      <c r="P19" s="378"/>
      <c r="Q19" s="378"/>
      <c r="S19" s="150">
        <f t="shared" si="0"/>
        <v>0</v>
      </c>
      <c r="T19" s="150">
        <f t="shared" si="1"/>
        <v>0</v>
      </c>
      <c r="U19" s="150">
        <f t="shared" ref="U19:U30" si="3">IF(H19="In den meisten Fällen",0.75,0)</f>
        <v>0</v>
      </c>
      <c r="V19" s="150">
        <f t="shared" ref="V19:V30" si="4">IF(H19="In ein Paar Fällen",0.5,0)</f>
        <v>0</v>
      </c>
      <c r="W19" s="150">
        <f t="shared" ref="W19:W30" si="5">IF(H19="Gar nicht",0,0)</f>
        <v>0</v>
      </c>
      <c r="X19" s="150"/>
      <c r="AG19" s="49" t="str">
        <f t="shared" si="2"/>
        <v>Nicht umgesetzt</v>
      </c>
    </row>
    <row r="20" spans="2:33" ht="40" customHeight="1" thickBot="1" x14ac:dyDescent="0.3">
      <c r="B20" s="325">
        <v>3</v>
      </c>
      <c r="C20" s="344" t="s">
        <v>310</v>
      </c>
      <c r="D20" s="345"/>
      <c r="E20" s="345"/>
      <c r="F20" s="370" t="s">
        <v>311</v>
      </c>
      <c r="G20" s="371"/>
      <c r="H20" s="365" t="s">
        <v>42</v>
      </c>
      <c r="I20" s="365"/>
      <c r="J20" s="357" t="s">
        <v>907</v>
      </c>
      <c r="K20" s="358"/>
      <c r="L20" s="358"/>
      <c r="M20" s="358"/>
      <c r="N20" s="272"/>
      <c r="O20" s="272"/>
      <c r="P20" s="272"/>
      <c r="Q20" s="272"/>
      <c r="S20" s="48">
        <f t="shared" si="0"/>
        <v>0</v>
      </c>
      <c r="T20" s="49">
        <f t="shared" si="1"/>
        <v>0</v>
      </c>
      <c r="U20" s="49">
        <f t="shared" si="3"/>
        <v>0</v>
      </c>
      <c r="V20" s="49">
        <f t="shared" si="4"/>
        <v>0</v>
      </c>
      <c r="W20" s="49">
        <f t="shared" si="5"/>
        <v>0</v>
      </c>
      <c r="X20" s="143">
        <f>IFERROR(SUM(T20:W23)/COUNTIF(H20:H23,"&lt;&gt;Nicht anwendbar"),"n.a.")</f>
        <v>0</v>
      </c>
      <c r="Y20" s="48">
        <f>IF(Y18=1,X20,0)</f>
        <v>0</v>
      </c>
    </row>
    <row r="21" spans="2:33" ht="40" customHeight="1" thickBot="1" x14ac:dyDescent="0.3">
      <c r="B21" s="323"/>
      <c r="C21" s="347" t="s">
        <v>299</v>
      </c>
      <c r="D21" s="348"/>
      <c r="E21" s="348"/>
      <c r="F21" s="337"/>
      <c r="G21" s="337"/>
      <c r="H21" s="366" t="s">
        <v>42</v>
      </c>
      <c r="I21" s="366"/>
      <c r="J21" s="282"/>
      <c r="K21" s="282"/>
      <c r="L21" s="282"/>
      <c r="M21" s="282"/>
      <c r="N21" s="339"/>
      <c r="O21" s="339"/>
      <c r="P21" s="339"/>
      <c r="Q21" s="339"/>
      <c r="S21" s="48">
        <f t="shared" si="0"/>
        <v>0</v>
      </c>
      <c r="T21" s="49">
        <f t="shared" si="1"/>
        <v>0</v>
      </c>
      <c r="U21" s="49">
        <f t="shared" si="3"/>
        <v>0</v>
      </c>
      <c r="V21" s="49">
        <f t="shared" si="4"/>
        <v>0</v>
      </c>
      <c r="W21" s="49">
        <f t="shared" si="5"/>
        <v>0</v>
      </c>
    </row>
    <row r="22" spans="2:33" ht="40" customHeight="1" thickBot="1" x14ac:dyDescent="0.3">
      <c r="B22" s="323"/>
      <c r="C22" s="347" t="s">
        <v>300</v>
      </c>
      <c r="D22" s="348"/>
      <c r="E22" s="348"/>
      <c r="F22" s="337"/>
      <c r="G22" s="337"/>
      <c r="H22" s="366" t="s">
        <v>42</v>
      </c>
      <c r="I22" s="366"/>
      <c r="J22" s="282"/>
      <c r="K22" s="282"/>
      <c r="L22" s="282"/>
      <c r="M22" s="282"/>
      <c r="N22" s="339"/>
      <c r="O22" s="339"/>
      <c r="P22" s="339"/>
      <c r="Q22" s="339"/>
      <c r="S22" s="48">
        <f t="shared" si="0"/>
        <v>0</v>
      </c>
      <c r="T22" s="49">
        <f t="shared" si="1"/>
        <v>0</v>
      </c>
      <c r="U22" s="49">
        <f t="shared" si="3"/>
        <v>0</v>
      </c>
      <c r="V22" s="49">
        <f t="shared" si="4"/>
        <v>0</v>
      </c>
      <c r="W22" s="49">
        <f t="shared" si="5"/>
        <v>0</v>
      </c>
    </row>
    <row r="23" spans="2:33" ht="40" customHeight="1" thickBot="1" x14ac:dyDescent="0.3">
      <c r="B23" s="326"/>
      <c r="C23" s="349" t="s">
        <v>301</v>
      </c>
      <c r="D23" s="388"/>
      <c r="E23" s="388"/>
      <c r="F23" s="386"/>
      <c r="G23" s="386"/>
      <c r="H23" s="340" t="s">
        <v>42</v>
      </c>
      <c r="I23" s="340"/>
      <c r="J23" s="270"/>
      <c r="K23" s="270"/>
      <c r="L23" s="270"/>
      <c r="M23" s="270"/>
      <c r="N23" s="378"/>
      <c r="O23" s="378"/>
      <c r="P23" s="378"/>
      <c r="Q23" s="378"/>
      <c r="S23" s="150">
        <f t="shared" si="0"/>
        <v>0</v>
      </c>
      <c r="T23" s="150">
        <f t="shared" si="1"/>
        <v>0</v>
      </c>
      <c r="U23" s="150">
        <f t="shared" si="3"/>
        <v>0</v>
      </c>
      <c r="V23" s="150">
        <f t="shared" si="4"/>
        <v>0</v>
      </c>
      <c r="W23" s="150">
        <f t="shared" si="5"/>
        <v>0</v>
      </c>
      <c r="X23" s="150"/>
    </row>
    <row r="24" spans="2:33" ht="40" customHeight="1" thickBot="1" x14ac:dyDescent="0.3">
      <c r="B24" s="325">
        <v>4</v>
      </c>
      <c r="C24" s="343" t="s">
        <v>302</v>
      </c>
      <c r="D24" s="343"/>
      <c r="E24" s="343"/>
      <c r="F24" s="361" t="s">
        <v>312</v>
      </c>
      <c r="G24" s="362"/>
      <c r="H24" s="366" t="s">
        <v>42</v>
      </c>
      <c r="I24" s="366"/>
      <c r="J24" s="351" t="s">
        <v>909</v>
      </c>
      <c r="K24" s="352"/>
      <c r="L24" s="352"/>
      <c r="M24" s="352"/>
      <c r="N24" s="272"/>
      <c r="O24" s="272"/>
      <c r="P24" s="272"/>
      <c r="Q24" s="272"/>
      <c r="S24" s="49">
        <f t="shared" si="0"/>
        <v>0</v>
      </c>
      <c r="T24" s="49">
        <f t="shared" si="1"/>
        <v>0</v>
      </c>
      <c r="U24" s="49">
        <f t="shared" si="3"/>
        <v>0</v>
      </c>
      <c r="V24" s="49">
        <f t="shared" si="4"/>
        <v>0</v>
      </c>
      <c r="W24" s="49">
        <f t="shared" si="5"/>
        <v>0</v>
      </c>
      <c r="X24" s="143">
        <f>IFERROR(SUM(T24:W27)/COUNTIF(H24:H27,"&lt;&gt;Nicht anwendbar"),"n.a.")</f>
        <v>0</v>
      </c>
      <c r="Y24" s="48">
        <f>IF(Y20=1,X24,0)</f>
        <v>0</v>
      </c>
    </row>
    <row r="25" spans="2:33" ht="40" customHeight="1" thickBot="1" x14ac:dyDescent="0.3">
      <c r="B25" s="323"/>
      <c r="C25" s="279" t="s">
        <v>303</v>
      </c>
      <c r="D25" s="279"/>
      <c r="E25" s="279"/>
      <c r="F25" s="307"/>
      <c r="G25" s="307"/>
      <c r="H25" s="366" t="s">
        <v>42</v>
      </c>
      <c r="I25" s="366"/>
      <c r="J25" s="286"/>
      <c r="K25" s="286"/>
      <c r="L25" s="286"/>
      <c r="M25" s="286"/>
      <c r="N25" s="339"/>
      <c r="O25" s="339"/>
      <c r="P25" s="339"/>
      <c r="Q25" s="339"/>
      <c r="S25" s="49">
        <f t="shared" si="0"/>
        <v>0</v>
      </c>
      <c r="T25" s="49">
        <f t="shared" si="1"/>
        <v>0</v>
      </c>
      <c r="U25" s="49">
        <f t="shared" si="3"/>
        <v>0</v>
      </c>
      <c r="V25" s="49">
        <f t="shared" si="4"/>
        <v>0</v>
      </c>
      <c r="W25" s="49">
        <f t="shared" si="5"/>
        <v>0</v>
      </c>
      <c r="X25" s="49"/>
    </row>
    <row r="26" spans="2:33" ht="40" customHeight="1" thickBot="1" x14ac:dyDescent="0.3">
      <c r="B26" s="323"/>
      <c r="C26" s="389" t="s">
        <v>1009</v>
      </c>
      <c r="D26" s="389"/>
      <c r="E26" s="389"/>
      <c r="F26" s="307"/>
      <c r="G26" s="307"/>
      <c r="H26" s="366" t="s">
        <v>42</v>
      </c>
      <c r="I26" s="366"/>
      <c r="J26" s="286"/>
      <c r="K26" s="286"/>
      <c r="L26" s="286"/>
      <c r="M26" s="286"/>
      <c r="N26" s="339"/>
      <c r="O26" s="339"/>
      <c r="P26" s="339"/>
      <c r="Q26" s="339"/>
      <c r="S26" s="49">
        <f t="shared" si="0"/>
        <v>0</v>
      </c>
      <c r="T26" s="49">
        <f t="shared" si="1"/>
        <v>0</v>
      </c>
      <c r="U26" s="49">
        <f t="shared" si="3"/>
        <v>0</v>
      </c>
      <c r="V26" s="49">
        <f t="shared" si="4"/>
        <v>0</v>
      </c>
      <c r="W26" s="49">
        <f t="shared" si="5"/>
        <v>0</v>
      </c>
      <c r="X26" s="49"/>
    </row>
    <row r="27" spans="2:33" ht="40" customHeight="1" thickBot="1" x14ac:dyDescent="0.3">
      <c r="B27" s="326"/>
      <c r="C27" s="350" t="s">
        <v>304</v>
      </c>
      <c r="D27" s="350"/>
      <c r="E27" s="350"/>
      <c r="F27" s="308"/>
      <c r="G27" s="308"/>
      <c r="H27" s="366" t="s">
        <v>42</v>
      </c>
      <c r="I27" s="366"/>
      <c r="J27" s="275"/>
      <c r="K27" s="275"/>
      <c r="L27" s="275"/>
      <c r="M27" s="275"/>
      <c r="N27" s="309"/>
      <c r="O27" s="309"/>
      <c r="P27" s="309"/>
      <c r="Q27" s="309"/>
      <c r="S27" s="150">
        <f t="shared" si="0"/>
        <v>0</v>
      </c>
      <c r="T27" s="150">
        <f t="shared" si="1"/>
        <v>0</v>
      </c>
      <c r="U27" s="150">
        <f t="shared" si="3"/>
        <v>0</v>
      </c>
      <c r="V27" s="150">
        <f t="shared" si="4"/>
        <v>0</v>
      </c>
      <c r="W27" s="150">
        <f t="shared" si="5"/>
        <v>0</v>
      </c>
      <c r="X27" s="150"/>
    </row>
    <row r="28" spans="2:33" ht="40" customHeight="1" thickBot="1" x14ac:dyDescent="0.3">
      <c r="B28" s="325">
        <v>5</v>
      </c>
      <c r="C28" s="343" t="s">
        <v>305</v>
      </c>
      <c r="D28" s="343"/>
      <c r="E28" s="343"/>
      <c r="F28" s="361" t="s">
        <v>313</v>
      </c>
      <c r="G28" s="362"/>
      <c r="H28" s="365" t="s">
        <v>42</v>
      </c>
      <c r="I28" s="365"/>
      <c r="J28" s="351" t="s">
        <v>908</v>
      </c>
      <c r="K28" s="352"/>
      <c r="L28" s="352"/>
      <c r="M28" s="352"/>
      <c r="N28" s="339"/>
      <c r="O28" s="339"/>
      <c r="P28" s="339"/>
      <c r="Q28" s="339"/>
      <c r="S28" s="48">
        <f t="shared" si="0"/>
        <v>0</v>
      </c>
      <c r="T28" s="49">
        <f t="shared" si="1"/>
        <v>0</v>
      </c>
      <c r="U28" s="49">
        <f t="shared" si="3"/>
        <v>0</v>
      </c>
      <c r="V28" s="49">
        <f t="shared" si="4"/>
        <v>0</v>
      </c>
      <c r="W28" s="49">
        <f t="shared" si="5"/>
        <v>0</v>
      </c>
      <c r="X28" s="143">
        <f>IFERROR(SUM(T28:W30)/COUNTIF(H28:H30,"&lt;&gt;Nicht anwendbar"),"n.a.")</f>
        <v>0</v>
      </c>
      <c r="Y28" s="48">
        <f>IF(Y24=1,X28,0)</f>
        <v>0</v>
      </c>
    </row>
    <row r="29" spans="2:33" ht="40" customHeight="1" thickBot="1" x14ac:dyDescent="0.3">
      <c r="B29" s="323"/>
      <c r="C29" s="279" t="s">
        <v>306</v>
      </c>
      <c r="D29" s="279"/>
      <c r="E29" s="279"/>
      <c r="F29" s="350"/>
      <c r="G29" s="307"/>
      <c r="H29" s="366" t="s">
        <v>42</v>
      </c>
      <c r="I29" s="366"/>
      <c r="J29" s="286"/>
      <c r="K29" s="286"/>
      <c r="L29" s="286"/>
      <c r="M29" s="286"/>
      <c r="N29" s="339"/>
      <c r="O29" s="339"/>
      <c r="P29" s="339"/>
      <c r="Q29" s="339"/>
      <c r="S29" s="48">
        <f t="shared" si="0"/>
        <v>0</v>
      </c>
      <c r="T29" s="49">
        <f t="shared" si="1"/>
        <v>0</v>
      </c>
      <c r="U29" s="49">
        <f t="shared" ref="U29" si="6">IF(H29="In den meisten Fällen",0.75,0)</f>
        <v>0</v>
      </c>
      <c r="V29" s="49">
        <f t="shared" ref="V29" si="7">IF(H29="In ein Paar Fällen",0.5,0)</f>
        <v>0</v>
      </c>
      <c r="W29" s="49">
        <f t="shared" ref="W29" si="8">IF(H29="Gar nicht",0,0)</f>
        <v>0</v>
      </c>
      <c r="X29" s="49"/>
    </row>
    <row r="30" spans="2:33" ht="40" customHeight="1" thickBot="1" x14ac:dyDescent="0.3">
      <c r="B30" s="326"/>
      <c r="C30" s="310" t="s">
        <v>307</v>
      </c>
      <c r="D30" s="310"/>
      <c r="E30" s="310"/>
      <c r="F30" s="308"/>
      <c r="G30" s="308"/>
      <c r="H30" s="340" t="s">
        <v>42</v>
      </c>
      <c r="I30" s="340"/>
      <c r="J30" s="275"/>
      <c r="K30" s="275"/>
      <c r="L30" s="275"/>
      <c r="M30" s="275"/>
      <c r="N30" s="309"/>
      <c r="O30" s="309"/>
      <c r="P30" s="309"/>
      <c r="Q30" s="309"/>
      <c r="S30" s="150">
        <f t="shared" si="0"/>
        <v>0</v>
      </c>
      <c r="T30" s="150">
        <f t="shared" si="1"/>
        <v>0</v>
      </c>
      <c r="U30" s="150">
        <f t="shared" si="3"/>
        <v>0</v>
      </c>
      <c r="V30" s="150">
        <f t="shared" si="4"/>
        <v>0</v>
      </c>
      <c r="W30" s="150">
        <f t="shared" si="5"/>
        <v>0</v>
      </c>
      <c r="X30" s="150"/>
    </row>
  </sheetData>
  <sheetProtection formatCells="0"/>
  <protectedRanges>
    <protectedRange sqref="N31:Q32" name="Bereich1"/>
    <protectedRange sqref="N18:Q18 N20:Q20 N24:Q24" name="Bereich1_1"/>
  </protectedRanges>
  <mergeCells count="72">
    <mergeCell ref="J20:M23"/>
    <mergeCell ref="J24:M27"/>
    <mergeCell ref="J28:M30"/>
    <mergeCell ref="H19:I19"/>
    <mergeCell ref="C30:E30"/>
    <mergeCell ref="H30:I30"/>
    <mergeCell ref="C24:E24"/>
    <mergeCell ref="H24:I24"/>
    <mergeCell ref="C25:E25"/>
    <mergeCell ref="H25:I25"/>
    <mergeCell ref="C26:E26"/>
    <mergeCell ref="H26:I26"/>
    <mergeCell ref="H27:I27"/>
    <mergeCell ref="C29:E29"/>
    <mergeCell ref="H29:I29"/>
    <mergeCell ref="H28:I28"/>
    <mergeCell ref="C23:E23"/>
    <mergeCell ref="H23:I23"/>
    <mergeCell ref="H20:I20"/>
    <mergeCell ref="H21:I21"/>
    <mergeCell ref="C22:E22"/>
    <mergeCell ref="H22:I22"/>
    <mergeCell ref="B4:M4"/>
    <mergeCell ref="C6:G6"/>
    <mergeCell ref="C7:M7"/>
    <mergeCell ref="C8:M8"/>
    <mergeCell ref="C9:M9"/>
    <mergeCell ref="C10:M10"/>
    <mergeCell ref="C14:E14"/>
    <mergeCell ref="F14:G14"/>
    <mergeCell ref="H14:I14"/>
    <mergeCell ref="J14:M14"/>
    <mergeCell ref="B15:M15"/>
    <mergeCell ref="H16:I16"/>
    <mergeCell ref="C17:E17"/>
    <mergeCell ref="H17:I17"/>
    <mergeCell ref="C18:E18"/>
    <mergeCell ref="H18:I18"/>
    <mergeCell ref="J16:M17"/>
    <mergeCell ref="J18:M19"/>
    <mergeCell ref="B28:B30"/>
    <mergeCell ref="F16:G17"/>
    <mergeCell ref="F18:G19"/>
    <mergeCell ref="F20:G23"/>
    <mergeCell ref="F24:G27"/>
    <mergeCell ref="F28:G30"/>
    <mergeCell ref="B16:B17"/>
    <mergeCell ref="C16:E16"/>
    <mergeCell ref="C20:E20"/>
    <mergeCell ref="C19:E19"/>
    <mergeCell ref="B24:B27"/>
    <mergeCell ref="B20:B23"/>
    <mergeCell ref="C27:E27"/>
    <mergeCell ref="C21:E21"/>
    <mergeCell ref="B18:B19"/>
    <mergeCell ref="C28:E28"/>
    <mergeCell ref="N14:Q14"/>
    <mergeCell ref="N16:Q16"/>
    <mergeCell ref="N17:Q17"/>
    <mergeCell ref="N18:Q18"/>
    <mergeCell ref="N19:Q19"/>
    <mergeCell ref="N20:Q20"/>
    <mergeCell ref="N21:Q21"/>
    <mergeCell ref="N22:Q22"/>
    <mergeCell ref="N23:Q23"/>
    <mergeCell ref="N24:Q24"/>
    <mergeCell ref="N30:Q30"/>
    <mergeCell ref="N25:Q25"/>
    <mergeCell ref="N26:Q26"/>
    <mergeCell ref="N27:Q27"/>
    <mergeCell ref="N28:Q28"/>
    <mergeCell ref="N29:Q29"/>
  </mergeCells>
  <conditionalFormatting sqref="H16:I28 H30:I30 H29">
    <cfRule type="containsText" dxfId="58" priority="1" operator="containsText" text="Bitte auswählen">
      <formula>NOT(ISERROR(SEARCH("Bitte auswählen",H16)))</formula>
    </cfRule>
  </conditionalFormatting>
  <dataValidations xWindow="747" yWindow="390" count="2">
    <dataValidation allowBlank="1" showInputMessage="1" showErrorMessage="1" promptTitle="[+] Klicken" prompt="Hier können Sie sich erweiterte Informationen zu dem Prozess anzeigen lassen." sqref="A11" xr:uid="{00000000-0002-0000-0A00-000000000000}"/>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0C45DC44-06A4-4317-A381-0E0D83F38C6D}"/>
  </dataValidations>
  <hyperlinks>
    <hyperlink ref="C26:E26" location="Glossar!A1" display="Ist der Redaktionsleitfaden verknüpft mit der Corporate Identity/ dem Corporate Design?" xr:uid="{C46EF8EC-1A7A-46F7-BA11-C0C7EE0403E2}"/>
  </hyperlink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747" yWindow="390" count="1">
        <x14:dataValidation type="list" allowBlank="1" showInputMessage="1" showErrorMessage="1" xr:uid="{00000000-0002-0000-0A00-000001000000}">
          <x14:formula1>
            <xm:f>Data!$I$3:$I$8</xm:f>
          </x14:formula1>
          <xm:sqref>H16:H30 I16:I28 I30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333399"/>
    <pageSetUpPr fitToPage="1"/>
  </sheetPr>
  <dimension ref="B4:AG27"/>
  <sheetViews>
    <sheetView showGridLines="0" topLeftCell="A4" zoomScale="90" zoomScaleNormal="90" zoomScalePageLayoutView="85" workbookViewId="0">
      <selection activeCell="C16" sqref="C16:E16"/>
    </sheetView>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45.54296875" style="48" hidden="1" customWidth="1" outlineLevel="1"/>
    <col min="7" max="7" width="48.1796875" style="48" hidden="1" customWidth="1" outlineLevel="1"/>
    <col min="8" max="8" width="11.453125" style="48" collapsed="1"/>
    <col min="9" max="10" width="11.453125" style="48"/>
    <col min="11" max="11" width="13.26953125" style="48" customWidth="1"/>
    <col min="12" max="12" width="11.453125" style="48"/>
    <col min="13" max="13" width="40.1796875" style="48" customWidth="1"/>
    <col min="14" max="14" width="11.453125" style="48"/>
    <col min="15" max="15" width="13.26953125" style="48" customWidth="1"/>
    <col min="16" max="16" width="11.453125" style="48"/>
    <col min="17" max="17" width="24.81640625" style="48" customWidth="1"/>
    <col min="18" max="18" width="11.453125" style="49" customWidth="1"/>
    <col min="19" max="24" width="11.453125" style="48" customWidth="1"/>
    <col min="25" max="25" width="14" style="48" customWidth="1"/>
    <col min="26" max="32" width="11.453125" style="48" customWidth="1"/>
    <col min="33" max="33" width="11.453125" style="48" hidden="1" customWidth="1"/>
    <col min="34" max="16384" width="11.453125" style="48"/>
  </cols>
  <sheetData>
    <row r="4" spans="2:33" ht="14" x14ac:dyDescent="0.3">
      <c r="B4" s="290" t="s">
        <v>39</v>
      </c>
      <c r="C4" s="290"/>
      <c r="D4" s="290"/>
      <c r="E4" s="290"/>
      <c r="F4" s="290"/>
      <c r="G4" s="290"/>
      <c r="H4" s="290"/>
      <c r="I4" s="290"/>
      <c r="J4" s="290"/>
      <c r="K4" s="290"/>
      <c r="L4" s="290"/>
      <c r="M4" s="290"/>
      <c r="N4" s="216"/>
      <c r="O4" s="216"/>
      <c r="P4" s="216"/>
      <c r="Q4" s="216"/>
    </row>
    <row r="5" spans="2:33" ht="9" customHeight="1" x14ac:dyDescent="0.25"/>
    <row r="6" spans="2:33" ht="32.25" customHeight="1" thickBot="1" x14ac:dyDescent="0.3">
      <c r="B6" s="162" t="s">
        <v>97</v>
      </c>
      <c r="C6" s="293" t="s">
        <v>159</v>
      </c>
      <c r="D6" s="293"/>
      <c r="E6" s="293"/>
      <c r="F6" s="293"/>
      <c r="G6" s="293"/>
      <c r="H6" s="53"/>
      <c r="I6" s="53"/>
      <c r="J6" s="53"/>
      <c r="K6" s="53" t="s">
        <v>36</v>
      </c>
      <c r="L6" s="55">
        <f>ROUNDDOWN(Z16/0.25,0)*0.25</f>
        <v>0</v>
      </c>
      <c r="M6" s="54" t="str">
        <f>IF(L6&lt;1,"Unvollständig",IF(L6&lt;2,"Initial",IF(L6&lt;3,"Gemanagt",IF(L6&lt;4,"Definiert",IF(L6&lt;5,"Quantitativ gemanagt",IF(L6&lt;6,"Optimiert","Ausstehend"))))))</f>
        <v>Unvollständig</v>
      </c>
      <c r="N6" s="53"/>
      <c r="O6" s="53"/>
      <c r="P6" s="55"/>
      <c r="Q6" s="54"/>
    </row>
    <row r="7" spans="2:33" ht="35.25" hidden="1" customHeight="1" outlineLevel="1" x14ac:dyDescent="0.25">
      <c r="B7" s="76" t="s">
        <v>211</v>
      </c>
      <c r="C7" s="294" t="s">
        <v>316</v>
      </c>
      <c r="D7" s="295"/>
      <c r="E7" s="295"/>
      <c r="F7" s="295"/>
      <c r="G7" s="295"/>
      <c r="H7" s="295"/>
      <c r="I7" s="295"/>
      <c r="J7" s="295"/>
      <c r="K7" s="295"/>
      <c r="L7" s="295"/>
      <c r="M7" s="296"/>
      <c r="N7" s="218"/>
      <c r="O7" s="218"/>
      <c r="P7" s="218"/>
      <c r="Q7" s="218"/>
    </row>
    <row r="8" spans="2:33" ht="57" hidden="1" customHeight="1" outlineLevel="1" x14ac:dyDescent="0.25">
      <c r="B8" s="51" t="s">
        <v>212</v>
      </c>
      <c r="C8" s="297" t="s">
        <v>317</v>
      </c>
      <c r="D8" s="298"/>
      <c r="E8" s="298"/>
      <c r="F8" s="298"/>
      <c r="G8" s="298"/>
      <c r="H8" s="298"/>
      <c r="I8" s="298"/>
      <c r="J8" s="298"/>
      <c r="K8" s="298"/>
      <c r="L8" s="298"/>
      <c r="M8" s="299"/>
      <c r="N8" s="217"/>
      <c r="O8" s="217"/>
      <c r="P8" s="217"/>
      <c r="Q8" s="217"/>
    </row>
    <row r="9" spans="2:33" ht="70.5" hidden="1" customHeight="1" outlineLevel="1" x14ac:dyDescent="0.25">
      <c r="B9" s="51" t="s">
        <v>30</v>
      </c>
      <c r="C9" s="300" t="s">
        <v>318</v>
      </c>
      <c r="D9" s="301"/>
      <c r="E9" s="301"/>
      <c r="F9" s="301"/>
      <c r="G9" s="301"/>
      <c r="H9" s="301"/>
      <c r="I9" s="301"/>
      <c r="J9" s="301"/>
      <c r="K9" s="301"/>
      <c r="L9" s="301"/>
      <c r="M9" s="302"/>
      <c r="N9" s="218"/>
      <c r="O9" s="218"/>
      <c r="P9" s="218"/>
      <c r="Q9" s="218"/>
    </row>
    <row r="10" spans="2:33" ht="65.25" hidden="1" customHeight="1" outlineLevel="1" x14ac:dyDescent="0.25">
      <c r="B10" s="51" t="s">
        <v>31</v>
      </c>
      <c r="C10" s="300" t="s">
        <v>319</v>
      </c>
      <c r="D10" s="301"/>
      <c r="E10" s="301"/>
      <c r="F10" s="301"/>
      <c r="G10" s="301"/>
      <c r="H10" s="301"/>
      <c r="I10" s="301"/>
      <c r="J10" s="301"/>
      <c r="K10" s="301"/>
      <c r="L10" s="301"/>
      <c r="M10" s="302"/>
      <c r="N10" s="218"/>
      <c r="O10" s="218"/>
      <c r="P10" s="218"/>
      <c r="Q10" s="218"/>
    </row>
    <row r="11" spans="2:33" collapsed="1" x14ac:dyDescent="0.25"/>
    <row r="12" spans="2:33" ht="13" x14ac:dyDescent="0.3">
      <c r="B12" s="50" t="s">
        <v>33</v>
      </c>
      <c r="C12" s="49"/>
    </row>
    <row r="13" spans="2:33" ht="6.75" customHeight="1" x14ac:dyDescent="0.25"/>
    <row r="14" spans="2:33" ht="21.75" customHeight="1" x14ac:dyDescent="0.25">
      <c r="B14" s="52" t="s">
        <v>34</v>
      </c>
      <c r="C14" s="353" t="s">
        <v>37</v>
      </c>
      <c r="D14" s="354"/>
      <c r="E14" s="355"/>
      <c r="F14" s="341" t="s">
        <v>67</v>
      </c>
      <c r="G14" s="356"/>
      <c r="H14" s="341" t="s">
        <v>3</v>
      </c>
      <c r="I14" s="356"/>
      <c r="J14" s="341" t="s">
        <v>886</v>
      </c>
      <c r="K14" s="342"/>
      <c r="L14" s="342"/>
      <c r="M14" s="342"/>
      <c r="N14" s="341" t="s">
        <v>38</v>
      </c>
      <c r="O14" s="342"/>
      <c r="P14" s="342"/>
      <c r="Q14" s="342"/>
      <c r="S14" s="142"/>
      <c r="T14" s="142" t="s">
        <v>35</v>
      </c>
      <c r="U14" s="142"/>
      <c r="V14" s="142"/>
      <c r="W14" s="142"/>
      <c r="X14" s="142"/>
      <c r="Y14" s="142" t="s">
        <v>45</v>
      </c>
      <c r="Z14" s="142" t="s">
        <v>44</v>
      </c>
    </row>
    <row r="15" spans="2:33" ht="1.5" customHeight="1" x14ac:dyDescent="0.3">
      <c r="B15" s="314"/>
      <c r="C15" s="314"/>
      <c r="D15" s="314"/>
      <c r="E15" s="314"/>
      <c r="F15" s="314"/>
      <c r="G15" s="314"/>
      <c r="H15" s="314"/>
      <c r="I15" s="314"/>
      <c r="J15" s="314"/>
      <c r="K15" s="314"/>
      <c r="L15" s="314"/>
      <c r="M15" s="314"/>
      <c r="N15" s="219"/>
      <c r="O15" s="219"/>
      <c r="P15" s="219"/>
      <c r="Q15" s="219"/>
    </row>
    <row r="16" spans="2:33" ht="40" customHeight="1" thickBot="1" x14ac:dyDescent="0.3">
      <c r="B16" s="190">
        <v>1</v>
      </c>
      <c r="C16" s="310" t="s">
        <v>1166</v>
      </c>
      <c r="D16" s="310"/>
      <c r="E16" s="310"/>
      <c r="F16" s="368" t="s">
        <v>328</v>
      </c>
      <c r="G16" s="390"/>
      <c r="H16" s="340" t="s">
        <v>42</v>
      </c>
      <c r="I16" s="340"/>
      <c r="J16" s="340" t="s">
        <v>29</v>
      </c>
      <c r="K16" s="340"/>
      <c r="L16" s="340"/>
      <c r="M16" s="340"/>
      <c r="N16" s="340"/>
      <c r="O16" s="340"/>
      <c r="P16" s="340"/>
      <c r="Q16" s="340"/>
      <c r="S16" s="75">
        <f>IF(H16="Nicht anwendbar","n.a.",0)</f>
        <v>0</v>
      </c>
      <c r="T16" s="75">
        <f>IF(H16="Vollständig",1,0)</f>
        <v>0</v>
      </c>
      <c r="U16" s="75">
        <f>IF(H16="In den meisten Fällen",0.75,0)</f>
        <v>0</v>
      </c>
      <c r="V16" s="75">
        <f>IF(H16="In ein Paar Fällen",0.5,0)</f>
        <v>0</v>
      </c>
      <c r="W16" s="75">
        <f>IF(H16="Gar nicht",0,0)</f>
        <v>0</v>
      </c>
      <c r="X16" s="75">
        <f>IF(S16&gt;0,"n.a.",SUM(S16:W16))</f>
        <v>0</v>
      </c>
      <c r="Y16" s="48">
        <f>X16</f>
        <v>0</v>
      </c>
      <c r="Z16" s="48">
        <f>IF(Y16&lt;&gt;"n.a.",SUM(Y16,Y17,Y19,Y22,Y25),NA())</f>
        <v>0</v>
      </c>
      <c r="AG16" s="49" t="str">
        <f t="shared" ref="AG16:AG18" si="0">IF(X16&gt;0.5,"Umgesetzt","Nicht umgesetzt")</f>
        <v>Nicht umgesetzt</v>
      </c>
    </row>
    <row r="17" spans="2:33" ht="40" customHeight="1" thickBot="1" x14ac:dyDescent="0.3">
      <c r="B17" s="325">
        <v>2</v>
      </c>
      <c r="C17" s="343" t="s">
        <v>326</v>
      </c>
      <c r="D17" s="343"/>
      <c r="E17" s="343"/>
      <c r="F17" s="361" t="s">
        <v>329</v>
      </c>
      <c r="G17" s="362"/>
      <c r="H17" s="365" t="s">
        <v>42</v>
      </c>
      <c r="I17" s="365"/>
      <c r="J17" s="351" t="s">
        <v>910</v>
      </c>
      <c r="K17" s="352"/>
      <c r="L17" s="352"/>
      <c r="M17" s="352"/>
      <c r="N17" s="339"/>
      <c r="O17" s="339"/>
      <c r="P17" s="339"/>
      <c r="Q17" s="339"/>
      <c r="S17" s="49">
        <f t="shared" ref="S17:S27" si="1">IF(H17="Nicht anwendbar","n.a.",0)</f>
        <v>0</v>
      </c>
      <c r="T17" s="49">
        <f t="shared" ref="T17:T27" si="2">IF(H17="Vollständig",1,0)</f>
        <v>0</v>
      </c>
      <c r="U17" s="49">
        <f>IF(H17="In den meisten Fällen",0.75,0)</f>
        <v>0</v>
      </c>
      <c r="V17" s="49">
        <f>IF(H17="In ein Paar Fällen",0.5,0)</f>
        <v>0</v>
      </c>
      <c r="W17" s="49">
        <f>IF(H17="Gar nicht",0,0)</f>
        <v>0</v>
      </c>
      <c r="X17" s="143">
        <f>IFERROR(SUM(T17:W18)/COUNTIF(H17:H18,"&lt;&gt;Nicht anwendbar"),"n.a.")</f>
        <v>0</v>
      </c>
      <c r="Y17" s="48">
        <f>IF(Y16=1,X17,0)</f>
        <v>0</v>
      </c>
      <c r="AG17" s="49" t="str">
        <f t="shared" si="0"/>
        <v>Nicht umgesetzt</v>
      </c>
    </row>
    <row r="18" spans="2:33" ht="40" customHeight="1" thickBot="1" x14ac:dyDescent="0.3">
      <c r="B18" s="326"/>
      <c r="C18" s="386" t="s">
        <v>327</v>
      </c>
      <c r="D18" s="386"/>
      <c r="E18" s="386"/>
      <c r="F18" s="308"/>
      <c r="G18" s="308"/>
      <c r="H18" s="340" t="s">
        <v>42</v>
      </c>
      <c r="I18" s="340"/>
      <c r="J18" s="275"/>
      <c r="K18" s="275"/>
      <c r="L18" s="275"/>
      <c r="M18" s="275"/>
      <c r="N18" s="378"/>
      <c r="O18" s="378"/>
      <c r="P18" s="378"/>
      <c r="Q18" s="378"/>
      <c r="S18" s="75">
        <f t="shared" si="1"/>
        <v>0</v>
      </c>
      <c r="T18" s="75">
        <f t="shared" si="2"/>
        <v>0</v>
      </c>
      <c r="U18" s="75">
        <f t="shared" ref="U18:U27" si="3">IF(H18="In den meisten Fällen",0.75,0)</f>
        <v>0</v>
      </c>
      <c r="V18" s="75">
        <f t="shared" ref="V18:V27" si="4">IF(H18="In ein Paar Fällen",0.5,0)</f>
        <v>0</v>
      </c>
      <c r="W18" s="75">
        <f t="shared" ref="W18:W27" si="5">IF(H18="Gar nicht",0,0)</f>
        <v>0</v>
      </c>
      <c r="X18" s="75"/>
      <c r="AG18" s="49" t="str">
        <f t="shared" si="0"/>
        <v>Nicht umgesetzt</v>
      </c>
    </row>
    <row r="19" spans="2:33" ht="40" customHeight="1" thickBot="1" x14ac:dyDescent="0.3">
      <c r="B19" s="325">
        <v>3</v>
      </c>
      <c r="C19" s="391" t="s">
        <v>1012</v>
      </c>
      <c r="D19" s="391"/>
      <c r="E19" s="391"/>
      <c r="F19" s="357" t="s">
        <v>330</v>
      </c>
      <c r="G19" s="358"/>
      <c r="H19" s="365" t="s">
        <v>42</v>
      </c>
      <c r="I19" s="365"/>
      <c r="J19" s="357" t="s">
        <v>911</v>
      </c>
      <c r="K19" s="358"/>
      <c r="L19" s="358"/>
      <c r="M19" s="358"/>
      <c r="N19" s="272"/>
      <c r="O19" s="272"/>
      <c r="P19" s="272"/>
      <c r="Q19" s="272"/>
      <c r="S19" s="48">
        <f t="shared" si="1"/>
        <v>0</v>
      </c>
      <c r="T19" s="49">
        <f t="shared" si="2"/>
        <v>0</v>
      </c>
      <c r="U19" s="49">
        <f t="shared" si="3"/>
        <v>0</v>
      </c>
      <c r="V19" s="49">
        <f t="shared" si="4"/>
        <v>0</v>
      </c>
      <c r="W19" s="49">
        <f t="shared" si="5"/>
        <v>0</v>
      </c>
      <c r="X19" s="143">
        <f>IFERROR(SUM(T19:W21)/COUNTIF(H19:H21,"&lt;&gt;Nicht anwendbar"),"n.a.")</f>
        <v>0</v>
      </c>
      <c r="Y19" s="48">
        <f>IF(Y17=1,X19,0)</f>
        <v>0</v>
      </c>
    </row>
    <row r="20" spans="2:33" ht="40" customHeight="1" thickBot="1" x14ac:dyDescent="0.3">
      <c r="B20" s="323"/>
      <c r="C20" s="327" t="s">
        <v>320</v>
      </c>
      <c r="D20" s="328"/>
      <c r="E20" s="328"/>
      <c r="F20" s="282"/>
      <c r="G20" s="282"/>
      <c r="H20" s="366" t="s">
        <v>42</v>
      </c>
      <c r="I20" s="366"/>
      <c r="J20" s="282"/>
      <c r="K20" s="282"/>
      <c r="L20" s="282"/>
      <c r="M20" s="282"/>
      <c r="N20" s="339"/>
      <c r="O20" s="339"/>
      <c r="P20" s="339"/>
      <c r="Q20" s="339"/>
      <c r="S20" s="48">
        <f t="shared" si="1"/>
        <v>0</v>
      </c>
      <c r="T20" s="49">
        <f t="shared" si="2"/>
        <v>0</v>
      </c>
      <c r="U20" s="49">
        <f t="shared" si="3"/>
        <v>0</v>
      </c>
      <c r="V20" s="49">
        <f t="shared" si="4"/>
        <v>0</v>
      </c>
      <c r="W20" s="49">
        <f t="shared" si="5"/>
        <v>0</v>
      </c>
    </row>
    <row r="21" spans="2:33" ht="40" customHeight="1" thickBot="1" x14ac:dyDescent="0.3">
      <c r="B21" s="326"/>
      <c r="C21" s="368" t="s">
        <v>321</v>
      </c>
      <c r="D21" s="368"/>
      <c r="E21" s="368"/>
      <c r="F21" s="270"/>
      <c r="G21" s="270"/>
      <c r="H21" s="340" t="s">
        <v>42</v>
      </c>
      <c r="I21" s="340"/>
      <c r="J21" s="270"/>
      <c r="K21" s="270"/>
      <c r="L21" s="270"/>
      <c r="M21" s="270"/>
      <c r="N21" s="339"/>
      <c r="O21" s="339"/>
      <c r="P21" s="339"/>
      <c r="Q21" s="339"/>
      <c r="S21" s="75">
        <f t="shared" si="1"/>
        <v>0</v>
      </c>
      <c r="T21" s="75">
        <f t="shared" si="2"/>
        <v>0</v>
      </c>
      <c r="U21" s="75">
        <f t="shared" si="3"/>
        <v>0</v>
      </c>
      <c r="V21" s="75">
        <f t="shared" si="4"/>
        <v>0</v>
      </c>
      <c r="W21" s="75">
        <f t="shared" si="5"/>
        <v>0</v>
      </c>
      <c r="X21" s="75"/>
    </row>
    <row r="22" spans="2:33" ht="40" customHeight="1" thickBot="1" x14ac:dyDescent="0.3">
      <c r="B22" s="325">
        <v>4</v>
      </c>
      <c r="C22" s="343" t="s">
        <v>322</v>
      </c>
      <c r="D22" s="343"/>
      <c r="E22" s="343"/>
      <c r="F22" s="351" t="s">
        <v>331</v>
      </c>
      <c r="G22" s="352"/>
      <c r="H22" s="365" t="s">
        <v>42</v>
      </c>
      <c r="I22" s="365"/>
      <c r="J22" s="351" t="s">
        <v>912</v>
      </c>
      <c r="K22" s="352"/>
      <c r="L22" s="352"/>
      <c r="M22" s="352"/>
      <c r="N22" s="272"/>
      <c r="O22" s="272"/>
      <c r="P22" s="272"/>
      <c r="Q22" s="272"/>
      <c r="S22" s="152">
        <f t="shared" si="1"/>
        <v>0</v>
      </c>
      <c r="T22" s="152">
        <f t="shared" si="2"/>
        <v>0</v>
      </c>
      <c r="U22" s="152">
        <f t="shared" si="3"/>
        <v>0</v>
      </c>
      <c r="V22" s="152">
        <f t="shared" si="4"/>
        <v>0</v>
      </c>
      <c r="W22" s="152">
        <f t="shared" si="5"/>
        <v>0</v>
      </c>
      <c r="X22" s="143">
        <f>IFERROR(SUM(T22:W24)/COUNTIF(H22:H24,"&lt;&gt;Nicht anwendbar"),"n.a.")</f>
        <v>0</v>
      </c>
      <c r="Y22" s="48">
        <f>IF(Y19=1,X22,0)</f>
        <v>0</v>
      </c>
    </row>
    <row r="23" spans="2:33" ht="40" customHeight="1" thickBot="1" x14ac:dyDescent="0.3">
      <c r="B23" s="323"/>
      <c r="C23" s="389" t="s">
        <v>1010</v>
      </c>
      <c r="D23" s="389"/>
      <c r="E23" s="389"/>
      <c r="F23" s="286"/>
      <c r="G23" s="286"/>
      <c r="H23" s="366" t="s">
        <v>42</v>
      </c>
      <c r="I23" s="366"/>
      <c r="J23" s="286"/>
      <c r="K23" s="286"/>
      <c r="L23" s="286"/>
      <c r="M23" s="286"/>
      <c r="N23" s="339"/>
      <c r="O23" s="339"/>
      <c r="P23" s="339"/>
      <c r="Q23" s="339"/>
      <c r="S23" s="49">
        <f t="shared" si="1"/>
        <v>0</v>
      </c>
      <c r="T23" s="49">
        <f t="shared" si="2"/>
        <v>0</v>
      </c>
      <c r="U23" s="49">
        <f t="shared" si="3"/>
        <v>0</v>
      </c>
      <c r="V23" s="49">
        <f t="shared" si="4"/>
        <v>0</v>
      </c>
      <c r="W23" s="49">
        <f t="shared" si="5"/>
        <v>0</v>
      </c>
      <c r="X23" s="49"/>
    </row>
    <row r="24" spans="2:33" ht="40" customHeight="1" thickBot="1" x14ac:dyDescent="0.3">
      <c r="B24" s="326"/>
      <c r="C24" s="330" t="s">
        <v>323</v>
      </c>
      <c r="D24" s="330"/>
      <c r="E24" s="330"/>
      <c r="F24" s="275"/>
      <c r="G24" s="275"/>
      <c r="H24" s="340" t="s">
        <v>42</v>
      </c>
      <c r="I24" s="340"/>
      <c r="J24" s="275"/>
      <c r="K24" s="275"/>
      <c r="L24" s="275"/>
      <c r="M24" s="275"/>
      <c r="N24" s="339"/>
      <c r="O24" s="339"/>
      <c r="P24" s="339"/>
      <c r="Q24" s="339"/>
      <c r="S24" s="149">
        <f t="shared" si="1"/>
        <v>0</v>
      </c>
      <c r="T24" s="149">
        <f t="shared" si="2"/>
        <v>0</v>
      </c>
      <c r="U24" s="149">
        <f t="shared" si="3"/>
        <v>0</v>
      </c>
      <c r="V24" s="149">
        <f t="shared" si="4"/>
        <v>0</v>
      </c>
      <c r="W24" s="149">
        <f t="shared" si="5"/>
        <v>0</v>
      </c>
      <c r="X24" s="149"/>
    </row>
    <row r="25" spans="2:33" ht="40" customHeight="1" thickBot="1" x14ac:dyDescent="0.3">
      <c r="B25" s="325">
        <v>5</v>
      </c>
      <c r="C25" s="343" t="s">
        <v>324</v>
      </c>
      <c r="D25" s="343"/>
      <c r="E25" s="343"/>
      <c r="F25" s="351" t="s">
        <v>332</v>
      </c>
      <c r="G25" s="352"/>
      <c r="H25" s="365" t="s">
        <v>42</v>
      </c>
      <c r="I25" s="365"/>
      <c r="J25" s="351" t="s">
        <v>913</v>
      </c>
      <c r="K25" s="352"/>
      <c r="L25" s="352"/>
      <c r="M25" s="352"/>
      <c r="N25" s="272"/>
      <c r="O25" s="272"/>
      <c r="P25" s="272"/>
      <c r="Q25" s="272"/>
      <c r="S25" s="48">
        <f t="shared" si="1"/>
        <v>0</v>
      </c>
      <c r="T25" s="49">
        <f t="shared" si="2"/>
        <v>0</v>
      </c>
      <c r="U25" s="49">
        <f t="shared" si="3"/>
        <v>0</v>
      </c>
      <c r="V25" s="49">
        <f t="shared" si="4"/>
        <v>0</v>
      </c>
      <c r="W25" s="49">
        <f t="shared" si="5"/>
        <v>0</v>
      </c>
      <c r="X25" s="143">
        <f>IFERROR(SUM(T25:W27)/COUNTIF(H25:H27,"&lt;&gt;Nicht anwendbar"),"n.a.")</f>
        <v>0</v>
      </c>
      <c r="Y25" s="48">
        <f>IF(Y22=1,X25,0)</f>
        <v>0</v>
      </c>
    </row>
    <row r="26" spans="2:33" ht="40" customHeight="1" thickBot="1" x14ac:dyDescent="0.3">
      <c r="B26" s="323"/>
      <c r="C26" s="330" t="s">
        <v>325</v>
      </c>
      <c r="D26" s="330"/>
      <c r="E26" s="330"/>
      <c r="F26" s="288"/>
      <c r="G26" s="286"/>
      <c r="H26" s="366" t="s">
        <v>42</v>
      </c>
      <c r="I26" s="366"/>
      <c r="J26" s="286"/>
      <c r="K26" s="286"/>
      <c r="L26" s="286"/>
      <c r="M26" s="286"/>
      <c r="N26" s="339"/>
      <c r="O26" s="339"/>
      <c r="P26" s="339"/>
      <c r="Q26" s="339"/>
      <c r="S26" s="48">
        <f t="shared" si="1"/>
        <v>0</v>
      </c>
      <c r="T26" s="49">
        <f t="shared" si="2"/>
        <v>0</v>
      </c>
      <c r="U26" s="49">
        <f t="shared" ref="U26" si="6">IF(H26="In den meisten Fällen",0.75,0)</f>
        <v>0</v>
      </c>
      <c r="V26" s="49">
        <f t="shared" ref="V26" si="7">IF(H26="In ein Paar Fällen",0.5,0)</f>
        <v>0</v>
      </c>
      <c r="W26" s="49">
        <f t="shared" ref="W26" si="8">IF(H26="Gar nicht",0,0)</f>
        <v>0</v>
      </c>
      <c r="X26" s="49"/>
    </row>
    <row r="27" spans="2:33" ht="40" customHeight="1" thickBot="1" x14ac:dyDescent="0.3">
      <c r="B27" s="326"/>
      <c r="C27" s="392" t="s">
        <v>1011</v>
      </c>
      <c r="D27" s="392"/>
      <c r="E27" s="392"/>
      <c r="F27" s="275"/>
      <c r="G27" s="275"/>
      <c r="H27" s="340" t="s">
        <v>42</v>
      </c>
      <c r="I27" s="340"/>
      <c r="J27" s="275"/>
      <c r="K27" s="275"/>
      <c r="L27" s="275"/>
      <c r="M27" s="275"/>
      <c r="N27" s="309"/>
      <c r="O27" s="309"/>
      <c r="P27" s="309"/>
      <c r="Q27" s="309"/>
      <c r="S27" s="149">
        <f t="shared" si="1"/>
        <v>0</v>
      </c>
      <c r="T27" s="149">
        <f t="shared" si="2"/>
        <v>0</v>
      </c>
      <c r="U27" s="149">
        <f t="shared" si="3"/>
        <v>0</v>
      </c>
      <c r="V27" s="149">
        <f t="shared" si="4"/>
        <v>0</v>
      </c>
      <c r="W27" s="149">
        <f t="shared" si="5"/>
        <v>0</v>
      </c>
      <c r="X27" s="149"/>
    </row>
  </sheetData>
  <sheetProtection formatCells="0"/>
  <protectedRanges>
    <protectedRange sqref="N31:Q32" name="Bereich1"/>
    <protectedRange sqref="N25:Q25 N19:Q19 N22:Q22" name="Bereich1_1"/>
  </protectedRanges>
  <mergeCells count="62">
    <mergeCell ref="J19:M21"/>
    <mergeCell ref="J22:M24"/>
    <mergeCell ref="J25:M27"/>
    <mergeCell ref="C22:E22"/>
    <mergeCell ref="H22:I22"/>
    <mergeCell ref="C23:E23"/>
    <mergeCell ref="H23:I23"/>
    <mergeCell ref="C24:E24"/>
    <mergeCell ref="H24:I24"/>
    <mergeCell ref="H25:I25"/>
    <mergeCell ref="C27:E27"/>
    <mergeCell ref="H27:I27"/>
    <mergeCell ref="C26:E26"/>
    <mergeCell ref="H26:I26"/>
    <mergeCell ref="F16:G16"/>
    <mergeCell ref="C16:E16"/>
    <mergeCell ref="H16:I16"/>
    <mergeCell ref="J16:M16"/>
    <mergeCell ref="B19:B21"/>
    <mergeCell ref="C19:E19"/>
    <mergeCell ref="H19:I19"/>
    <mergeCell ref="C20:E20"/>
    <mergeCell ref="H20:I20"/>
    <mergeCell ref="C21:E21"/>
    <mergeCell ref="H21:I21"/>
    <mergeCell ref="H17:I17"/>
    <mergeCell ref="C18:E18"/>
    <mergeCell ref="F17:G18"/>
    <mergeCell ref="H18:I18"/>
    <mergeCell ref="J17:M18"/>
    <mergeCell ref="B15:M15"/>
    <mergeCell ref="B4:M4"/>
    <mergeCell ref="C6:G6"/>
    <mergeCell ref="C7:M7"/>
    <mergeCell ref="C8:M8"/>
    <mergeCell ref="C9:M9"/>
    <mergeCell ref="C10:M10"/>
    <mergeCell ref="C14:E14"/>
    <mergeCell ref="F14:G14"/>
    <mergeCell ref="H14:I14"/>
    <mergeCell ref="J14:M14"/>
    <mergeCell ref="B22:B24"/>
    <mergeCell ref="F19:G21"/>
    <mergeCell ref="F22:G24"/>
    <mergeCell ref="F25:G27"/>
    <mergeCell ref="B17:B18"/>
    <mergeCell ref="C17:E17"/>
    <mergeCell ref="B25:B27"/>
    <mergeCell ref="C25:E25"/>
    <mergeCell ref="N14:Q14"/>
    <mergeCell ref="N16:Q16"/>
    <mergeCell ref="N17:Q17"/>
    <mergeCell ref="N18:Q18"/>
    <mergeCell ref="N19:Q19"/>
    <mergeCell ref="N25:Q25"/>
    <mergeCell ref="N26:Q26"/>
    <mergeCell ref="N27:Q27"/>
    <mergeCell ref="N20:Q20"/>
    <mergeCell ref="N21:Q21"/>
    <mergeCell ref="N22:Q22"/>
    <mergeCell ref="N23:Q23"/>
    <mergeCell ref="N24:Q24"/>
  </mergeCells>
  <conditionalFormatting sqref="H27:I27 H26 H16:I25">
    <cfRule type="containsText" dxfId="57" priority="1" operator="containsText" text="Bitte auswählen">
      <formula>NOT(ISERROR(SEARCH("Bitte auswählen",H16)))</formula>
    </cfRule>
  </conditionalFormatting>
  <dataValidations xWindow="737" yWindow="398" count="2">
    <dataValidation allowBlank="1" showInputMessage="1" showErrorMessage="1" promptTitle="[+] Klicken" prompt="Hier können Sie sich erweiterte Informationen zu dem Prozess anzeigen lassen." sqref="A11" xr:uid="{00000000-0002-0000-0B00-000000000000}"/>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483E5FD4-DEAB-45B4-BEDA-DEDAA2A683AA}"/>
  </dataValidations>
  <hyperlinks>
    <hyperlink ref="C23:E23" location="Glossar!A1" display="Werden Metadaten oder Klassifikationen systematisch eingesetzt, um die Strukturierung zu unterstützen? Folgt die Struktur einem semantischen Modell (z.B. iiRDS)?" xr:uid="{0C9F10E2-3DB3-4BEB-A1F0-DCD4C80EBB58}"/>
    <hyperlink ref="C27:E27" location="Glossar!A1" display="Werden innovative Ansätze (z. B. semantische Modelle, KI-gestützte Strukturierung) aktiv evaluiert und eingesetzt?" xr:uid="{ACF920D1-EFE5-400D-80EB-9BE9030F85CD}"/>
    <hyperlink ref="C19:E19" location="Glossar!A1" display="Sind verbindliche Strukturkonventionen bzw. Informationsarchitekturen zur Strukturierung der Dokumentation vorhanden (z.B. DITA)?" xr:uid="{355E9A50-B653-450C-9388-6055DC0260B5}"/>
  </hyperlinks>
  <pageMargins left="0.23622047244094491" right="0.23622047244094491" top="0.74803149606299213" bottom="0.74803149606299213" header="0.31496062992125984" footer="0.31496062992125984"/>
  <pageSetup paperSize="9" scale="46" orientation="landscape" horizontalDpi="4294967293"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737" yWindow="398" count="1">
        <x14:dataValidation type="list" allowBlank="1" showInputMessage="1" showErrorMessage="1" xr:uid="{00000000-0002-0000-0B00-000001000000}">
          <x14:formula1>
            <xm:f>Data!$I$3:$I$8</xm:f>
          </x14:formula1>
          <xm:sqref>I27 H16:H27 I16:I25</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333399"/>
    <pageSetUpPr fitToPage="1"/>
  </sheetPr>
  <dimension ref="B4:AG29"/>
  <sheetViews>
    <sheetView showGridLines="0" zoomScale="90" zoomScaleNormal="90" zoomScalePageLayoutView="85" workbookViewId="0"/>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36.453125" style="48" hidden="1" customWidth="1" outlineLevel="1"/>
    <col min="7" max="7" width="57" style="48" hidden="1" customWidth="1" outlineLevel="1"/>
    <col min="8" max="8" width="11.453125" style="48" collapsed="1"/>
    <col min="9" max="10" width="11.453125" style="48"/>
    <col min="11" max="11" width="13.26953125" style="48" customWidth="1"/>
    <col min="12" max="12" width="11.453125" style="48"/>
    <col min="13" max="13" width="40.81640625" style="48" customWidth="1"/>
    <col min="14" max="14" width="11.453125" style="48"/>
    <col min="15" max="15" width="13.26953125" style="48" customWidth="1"/>
    <col min="16" max="16" width="11.453125" style="48"/>
    <col min="17" max="17" width="24.81640625" style="48" customWidth="1"/>
    <col min="18" max="18" width="11.453125" style="49"/>
    <col min="19" max="24" width="11.453125" style="48" customWidth="1"/>
    <col min="25" max="25" width="14" style="48" customWidth="1"/>
    <col min="26" max="32" width="11.453125" style="48" customWidth="1"/>
    <col min="33" max="33" width="11.453125" style="48" hidden="1" customWidth="1"/>
    <col min="34" max="16384" width="11.453125" style="48"/>
  </cols>
  <sheetData>
    <row r="4" spans="2:33" ht="14" x14ac:dyDescent="0.3">
      <c r="B4" s="290" t="s">
        <v>39</v>
      </c>
      <c r="C4" s="290"/>
      <c r="D4" s="290"/>
      <c r="E4" s="290"/>
      <c r="F4" s="290"/>
      <c r="G4" s="290"/>
      <c r="H4" s="290"/>
      <c r="I4" s="290"/>
      <c r="J4" s="290"/>
      <c r="K4" s="290"/>
      <c r="L4" s="290"/>
      <c r="M4" s="290"/>
      <c r="N4" s="216"/>
      <c r="O4" s="216"/>
      <c r="P4" s="216"/>
      <c r="Q4" s="216"/>
    </row>
    <row r="5" spans="2:33" ht="9" customHeight="1" x14ac:dyDescent="0.25"/>
    <row r="6" spans="2:33" ht="32.25" customHeight="1" thickBot="1" x14ac:dyDescent="0.3">
      <c r="B6" s="162" t="s">
        <v>99</v>
      </c>
      <c r="C6" s="293" t="s">
        <v>160</v>
      </c>
      <c r="D6" s="293"/>
      <c r="E6" s="293"/>
      <c r="F6" s="293"/>
      <c r="G6" s="293"/>
      <c r="H6" s="53"/>
      <c r="I6" s="53"/>
      <c r="J6" s="53"/>
      <c r="K6" s="53" t="s">
        <v>36</v>
      </c>
      <c r="L6" s="55">
        <f>ROUNDDOWN(Z16/0.25,0)*0.25</f>
        <v>0</v>
      </c>
      <c r="M6" s="54" t="str">
        <f>IF(L6&lt;1,"Unvollständig",IF(L6&lt;2,"Initial",IF(L6&lt;3,"Gemanagt",IF(L6&lt;4,"Definiert",IF(L6&lt;5,"Quantitativ gemanagt",IF(L6&lt;6,"Optimiert","Ausstehend"))))))</f>
        <v>Unvollständig</v>
      </c>
      <c r="N6" s="53"/>
      <c r="O6" s="53"/>
      <c r="P6" s="55"/>
      <c r="Q6" s="54"/>
    </row>
    <row r="7" spans="2:33" ht="35.25" hidden="1" customHeight="1" outlineLevel="1" x14ac:dyDescent="0.25">
      <c r="B7" s="76" t="s">
        <v>211</v>
      </c>
      <c r="C7" s="294" t="s">
        <v>333</v>
      </c>
      <c r="D7" s="295"/>
      <c r="E7" s="295"/>
      <c r="F7" s="295"/>
      <c r="G7" s="295"/>
      <c r="H7" s="295"/>
      <c r="I7" s="295"/>
      <c r="J7" s="295"/>
      <c r="K7" s="295"/>
      <c r="L7" s="295"/>
      <c r="M7" s="296"/>
      <c r="N7" s="218"/>
      <c r="O7" s="218"/>
      <c r="P7" s="218"/>
      <c r="Q7" s="218"/>
    </row>
    <row r="8" spans="2:33" ht="63.75" hidden="1" customHeight="1" outlineLevel="1" x14ac:dyDescent="0.25">
      <c r="B8" s="51" t="s">
        <v>212</v>
      </c>
      <c r="C8" s="297" t="s">
        <v>334</v>
      </c>
      <c r="D8" s="298"/>
      <c r="E8" s="298"/>
      <c r="F8" s="298"/>
      <c r="G8" s="298"/>
      <c r="H8" s="298"/>
      <c r="I8" s="298"/>
      <c r="J8" s="298"/>
      <c r="K8" s="298"/>
      <c r="L8" s="298"/>
      <c r="M8" s="299"/>
      <c r="N8" s="217"/>
      <c r="O8" s="217"/>
      <c r="P8" s="217"/>
      <c r="Q8" s="217"/>
    </row>
    <row r="9" spans="2:33" ht="147.75" hidden="1" customHeight="1" outlineLevel="1" x14ac:dyDescent="0.25">
      <c r="B9" s="51" t="s">
        <v>30</v>
      </c>
      <c r="C9" s="300" t="s">
        <v>335</v>
      </c>
      <c r="D9" s="301"/>
      <c r="E9" s="301"/>
      <c r="F9" s="301"/>
      <c r="G9" s="301"/>
      <c r="H9" s="301"/>
      <c r="I9" s="301"/>
      <c r="J9" s="301"/>
      <c r="K9" s="301"/>
      <c r="L9" s="301"/>
      <c r="M9" s="302"/>
      <c r="N9" s="218"/>
      <c r="O9" s="218"/>
      <c r="P9" s="218"/>
      <c r="Q9" s="218"/>
    </row>
    <row r="10" spans="2:33" ht="65.25" hidden="1" customHeight="1" outlineLevel="1" x14ac:dyDescent="0.25">
      <c r="B10" s="51" t="s">
        <v>31</v>
      </c>
      <c r="C10" s="300" t="s">
        <v>336</v>
      </c>
      <c r="D10" s="301"/>
      <c r="E10" s="301"/>
      <c r="F10" s="301"/>
      <c r="G10" s="301"/>
      <c r="H10" s="301"/>
      <c r="I10" s="301"/>
      <c r="J10" s="301"/>
      <c r="K10" s="301"/>
      <c r="L10" s="301"/>
      <c r="M10" s="302"/>
      <c r="N10" s="218"/>
      <c r="O10" s="218"/>
      <c r="P10" s="218"/>
      <c r="Q10" s="218"/>
    </row>
    <row r="11" spans="2:33" collapsed="1" x14ac:dyDescent="0.25"/>
    <row r="12" spans="2:33" ht="13" x14ac:dyDescent="0.3">
      <c r="B12" s="50" t="s">
        <v>33</v>
      </c>
      <c r="C12" s="49"/>
    </row>
    <row r="13" spans="2:33" ht="6.75" customHeight="1" x14ac:dyDescent="0.25"/>
    <row r="14" spans="2:33" ht="21.75" customHeight="1" thickBot="1" x14ac:dyDescent="0.3">
      <c r="B14" s="52" t="s">
        <v>34</v>
      </c>
      <c r="C14" s="353" t="s">
        <v>37</v>
      </c>
      <c r="D14" s="354"/>
      <c r="E14" s="355"/>
      <c r="F14" s="341" t="s">
        <v>67</v>
      </c>
      <c r="G14" s="356"/>
      <c r="H14" s="341" t="s">
        <v>3</v>
      </c>
      <c r="I14" s="356"/>
      <c r="J14" s="341" t="s">
        <v>886</v>
      </c>
      <c r="K14" s="342"/>
      <c r="L14" s="342"/>
      <c r="M14" s="356"/>
      <c r="N14" s="341" t="s">
        <v>38</v>
      </c>
      <c r="O14" s="342"/>
      <c r="P14" s="342"/>
      <c r="Q14" s="342"/>
      <c r="S14" s="154"/>
      <c r="T14" s="154" t="s">
        <v>35</v>
      </c>
      <c r="U14" s="154"/>
      <c r="V14" s="154"/>
      <c r="W14" s="154"/>
      <c r="X14" s="154"/>
      <c r="Y14" s="154" t="s">
        <v>45</v>
      </c>
      <c r="Z14" s="154" t="s">
        <v>44</v>
      </c>
    </row>
    <row r="15" spans="2:33" ht="1.5" customHeight="1" thickBot="1" x14ac:dyDescent="0.35">
      <c r="B15" s="314"/>
      <c r="C15" s="314"/>
      <c r="D15" s="314"/>
      <c r="E15" s="314"/>
      <c r="F15" s="314"/>
      <c r="G15" s="314"/>
      <c r="H15" s="314"/>
      <c r="I15" s="314"/>
      <c r="J15" s="314"/>
      <c r="K15" s="314"/>
      <c r="L15" s="314"/>
      <c r="M15" s="314"/>
      <c r="N15" s="219"/>
      <c r="O15" s="219"/>
      <c r="P15" s="219"/>
      <c r="Q15" s="219"/>
    </row>
    <row r="16" spans="2:33" ht="40" customHeight="1" thickBot="1" x14ac:dyDescent="0.3">
      <c r="B16" s="190">
        <v>1</v>
      </c>
      <c r="C16" s="360" t="s">
        <v>1127</v>
      </c>
      <c r="D16" s="360"/>
      <c r="E16" s="360"/>
      <c r="F16" s="386" t="s">
        <v>337</v>
      </c>
      <c r="G16" s="390"/>
      <c r="H16" s="340" t="s">
        <v>42</v>
      </c>
      <c r="I16" s="340"/>
      <c r="J16" s="309" t="s">
        <v>29</v>
      </c>
      <c r="K16" s="309"/>
      <c r="L16" s="309"/>
      <c r="M16" s="309"/>
      <c r="N16" s="340"/>
      <c r="O16" s="340"/>
      <c r="P16" s="340"/>
      <c r="Q16" s="340"/>
      <c r="S16" s="75">
        <f>IF(H16="Nicht anwendbar","n.a.",0)</f>
        <v>0</v>
      </c>
      <c r="T16" s="75">
        <f>IF(H16="Vollständig",1,0)</f>
        <v>0</v>
      </c>
      <c r="U16" s="75">
        <f>IF(H16="In den meisten Fällen",0.75,0)</f>
        <v>0</v>
      </c>
      <c r="V16" s="75">
        <f>IF(H16="In ein Paar Fällen",0.5,0)</f>
        <v>0</v>
      </c>
      <c r="W16" s="75">
        <f>IF(H16="Gar nicht",0,0)</f>
        <v>0</v>
      </c>
      <c r="X16" s="75">
        <f>IF(S16&gt;0,"n.a.",SUM(S16:W16))</f>
        <v>0</v>
      </c>
      <c r="Y16" s="48">
        <f>X16</f>
        <v>0</v>
      </c>
      <c r="Z16" s="48">
        <f>IF(Y16&lt;&gt;"n.a.",SUM(Y16,Y17,Y19,Y22,Y26),NA())</f>
        <v>0</v>
      </c>
      <c r="AG16" s="49" t="str">
        <f t="shared" ref="AG16:AG18" si="0">IF(X16&gt;0.5,"Umgesetzt","Nicht umgesetzt")</f>
        <v>Nicht umgesetzt</v>
      </c>
    </row>
    <row r="17" spans="2:33" ht="40" customHeight="1" thickBot="1" x14ac:dyDescent="0.3">
      <c r="B17" s="325">
        <v>2</v>
      </c>
      <c r="C17" s="343" t="s">
        <v>338</v>
      </c>
      <c r="D17" s="343"/>
      <c r="E17" s="343"/>
      <c r="F17" s="361" t="s">
        <v>352</v>
      </c>
      <c r="G17" s="362"/>
      <c r="H17" s="365" t="s">
        <v>42</v>
      </c>
      <c r="I17" s="365"/>
      <c r="J17" s="351" t="s">
        <v>914</v>
      </c>
      <c r="K17" s="352"/>
      <c r="L17" s="352"/>
      <c r="M17" s="352"/>
      <c r="N17" s="339"/>
      <c r="O17" s="339"/>
      <c r="P17" s="339"/>
      <c r="Q17" s="339"/>
      <c r="S17" s="49">
        <f t="shared" ref="S17:S29" si="1">IF(H17="Nicht anwendbar","n.a.",0)</f>
        <v>0</v>
      </c>
      <c r="T17" s="49">
        <f t="shared" ref="T17:T29" si="2">IF(H17="Vollständig",1,0)</f>
        <v>0</v>
      </c>
      <c r="U17" s="49">
        <f>IF(H17="In den meisten Fällen",0.75,0)</f>
        <v>0</v>
      </c>
      <c r="V17" s="49">
        <f>IF(H17="In ein Paar Fällen",0.5,0)</f>
        <v>0</v>
      </c>
      <c r="W17" s="49">
        <f>IF(H17="Gar nicht",0,0)</f>
        <v>0</v>
      </c>
      <c r="X17" s="143">
        <f>IFERROR(SUM(T17:W18)/COUNTIF(H17:H18,"&lt;&gt;Nicht anwendbar"),"n.a.")</f>
        <v>0</v>
      </c>
      <c r="Y17" s="48">
        <f>IF(X16=1,X17,0)</f>
        <v>0</v>
      </c>
      <c r="AG17" s="49" t="str">
        <f t="shared" si="0"/>
        <v>Nicht umgesetzt</v>
      </c>
    </row>
    <row r="18" spans="2:33" ht="40" customHeight="1" thickBot="1" x14ac:dyDescent="0.3">
      <c r="B18" s="326"/>
      <c r="C18" s="310" t="s">
        <v>1167</v>
      </c>
      <c r="D18" s="310"/>
      <c r="E18" s="310"/>
      <c r="F18" s="308"/>
      <c r="G18" s="308"/>
      <c r="H18" s="340" t="s">
        <v>42</v>
      </c>
      <c r="I18" s="340"/>
      <c r="J18" s="275"/>
      <c r="K18" s="275"/>
      <c r="L18" s="275"/>
      <c r="M18" s="275"/>
      <c r="N18" s="378"/>
      <c r="O18" s="378"/>
      <c r="P18" s="378"/>
      <c r="Q18" s="378"/>
      <c r="S18" s="75">
        <f t="shared" si="1"/>
        <v>0</v>
      </c>
      <c r="T18" s="75">
        <f t="shared" si="2"/>
        <v>0</v>
      </c>
      <c r="U18" s="75">
        <f t="shared" ref="U18:U29" si="3">IF(H18="In den meisten Fällen",0.75,0)</f>
        <v>0</v>
      </c>
      <c r="V18" s="75">
        <f t="shared" ref="V18:V29" si="4">IF(H18="In ein Paar Fällen",0.5,0)</f>
        <v>0</v>
      </c>
      <c r="W18" s="75">
        <f t="shared" ref="W18:W29" si="5">IF(H18="Gar nicht",0,0)</f>
        <v>0</v>
      </c>
      <c r="X18" s="75"/>
      <c r="AG18" s="49" t="str">
        <f t="shared" si="0"/>
        <v>Nicht umgesetzt</v>
      </c>
    </row>
    <row r="19" spans="2:33" ht="40" customHeight="1" thickBot="1" x14ac:dyDescent="0.3">
      <c r="B19" s="325">
        <v>3</v>
      </c>
      <c r="C19" s="344" t="s">
        <v>339</v>
      </c>
      <c r="D19" s="345"/>
      <c r="E19" s="345"/>
      <c r="F19" s="370" t="s">
        <v>346</v>
      </c>
      <c r="G19" s="371"/>
      <c r="H19" s="365" t="s">
        <v>42</v>
      </c>
      <c r="I19" s="365"/>
      <c r="J19" s="357" t="s">
        <v>915</v>
      </c>
      <c r="K19" s="358"/>
      <c r="L19" s="358"/>
      <c r="M19" s="358"/>
      <c r="N19" s="272"/>
      <c r="O19" s="272"/>
      <c r="P19" s="272"/>
      <c r="Q19" s="272"/>
      <c r="S19" s="49">
        <f t="shared" si="1"/>
        <v>0</v>
      </c>
      <c r="T19" s="49">
        <f t="shared" si="2"/>
        <v>0</v>
      </c>
      <c r="U19" s="49">
        <f t="shared" si="3"/>
        <v>0</v>
      </c>
      <c r="V19" s="49">
        <f t="shared" si="4"/>
        <v>0</v>
      </c>
      <c r="W19" s="49">
        <f t="shared" si="5"/>
        <v>0</v>
      </c>
      <c r="X19" s="143">
        <f>IFERROR(SUM(T19:W21)/COUNTIF(H19:H21,"&lt;&gt;Nicht anwendbar"),"n.a.")</f>
        <v>0</v>
      </c>
      <c r="Y19" s="48">
        <f>IF(Y17=1,X19,0)</f>
        <v>0</v>
      </c>
    </row>
    <row r="20" spans="2:33" ht="40" customHeight="1" thickBot="1" x14ac:dyDescent="0.3">
      <c r="B20" s="323"/>
      <c r="C20" s="347" t="s">
        <v>340</v>
      </c>
      <c r="D20" s="348"/>
      <c r="E20" s="348"/>
      <c r="F20" s="337"/>
      <c r="G20" s="337"/>
      <c r="H20" s="366" t="s">
        <v>42</v>
      </c>
      <c r="I20" s="366"/>
      <c r="J20" s="282"/>
      <c r="K20" s="282"/>
      <c r="L20" s="282"/>
      <c r="M20" s="282"/>
      <c r="N20" s="339"/>
      <c r="O20" s="339"/>
      <c r="P20" s="339"/>
      <c r="Q20" s="339"/>
      <c r="S20" s="49">
        <f t="shared" si="1"/>
        <v>0</v>
      </c>
      <c r="T20" s="49">
        <f t="shared" si="2"/>
        <v>0</v>
      </c>
      <c r="U20" s="49">
        <f t="shared" si="3"/>
        <v>0</v>
      </c>
      <c r="V20" s="49">
        <f t="shared" si="4"/>
        <v>0</v>
      </c>
      <c r="W20" s="49">
        <f t="shared" si="5"/>
        <v>0</v>
      </c>
    </row>
    <row r="21" spans="2:33" ht="40" customHeight="1" thickBot="1" x14ac:dyDescent="0.3">
      <c r="B21" s="326"/>
      <c r="C21" s="368" t="s">
        <v>341</v>
      </c>
      <c r="D21" s="368"/>
      <c r="E21" s="368"/>
      <c r="F21" s="386"/>
      <c r="G21" s="386"/>
      <c r="H21" s="340" t="s">
        <v>42</v>
      </c>
      <c r="I21" s="340"/>
      <c r="J21" s="270"/>
      <c r="K21" s="270"/>
      <c r="L21" s="270"/>
      <c r="M21" s="270"/>
      <c r="N21" s="339"/>
      <c r="O21" s="339"/>
      <c r="P21" s="339"/>
      <c r="Q21" s="339"/>
      <c r="S21" s="75">
        <f t="shared" si="1"/>
        <v>0</v>
      </c>
      <c r="T21" s="75">
        <f t="shared" si="2"/>
        <v>0</v>
      </c>
      <c r="U21" s="75">
        <f t="shared" si="3"/>
        <v>0</v>
      </c>
      <c r="V21" s="75">
        <f t="shared" si="4"/>
        <v>0</v>
      </c>
      <c r="W21" s="75">
        <f t="shared" si="5"/>
        <v>0</v>
      </c>
      <c r="X21" s="75"/>
    </row>
    <row r="22" spans="2:33" ht="40" customHeight="1" thickBot="1" x14ac:dyDescent="0.3">
      <c r="B22" s="325">
        <v>4</v>
      </c>
      <c r="C22" s="343" t="s">
        <v>342</v>
      </c>
      <c r="D22" s="343"/>
      <c r="E22" s="343"/>
      <c r="F22" s="361" t="s">
        <v>349</v>
      </c>
      <c r="G22" s="362"/>
      <c r="H22" s="365" t="s">
        <v>42</v>
      </c>
      <c r="I22" s="365"/>
      <c r="J22" s="351" t="s">
        <v>917</v>
      </c>
      <c r="K22" s="352"/>
      <c r="L22" s="352"/>
      <c r="M22" s="352"/>
      <c r="N22" s="272"/>
      <c r="O22" s="272"/>
      <c r="P22" s="272"/>
      <c r="Q22" s="272"/>
      <c r="S22" s="49">
        <f t="shared" si="1"/>
        <v>0</v>
      </c>
      <c r="T22" s="49">
        <f t="shared" si="2"/>
        <v>0</v>
      </c>
      <c r="U22" s="49">
        <f t="shared" si="3"/>
        <v>0</v>
      </c>
      <c r="V22" s="49">
        <f t="shared" si="4"/>
        <v>0</v>
      </c>
      <c r="W22" s="49">
        <f t="shared" si="5"/>
        <v>0</v>
      </c>
      <c r="X22" s="143">
        <f>IFERROR(SUM(T22:W25)/COUNTIF(H22:H25,"&lt;&gt;Nicht anwendbar"),"n.a.")</f>
        <v>0</v>
      </c>
      <c r="Y22" s="48">
        <f>IF(Y19=1,X22,0)</f>
        <v>0</v>
      </c>
    </row>
    <row r="23" spans="2:33" ht="40" customHeight="1" thickBot="1" x14ac:dyDescent="0.3">
      <c r="B23" s="323"/>
      <c r="C23" s="330" t="s">
        <v>343</v>
      </c>
      <c r="D23" s="330"/>
      <c r="E23" s="330"/>
      <c r="F23" s="307"/>
      <c r="G23" s="307"/>
      <c r="H23" s="366" t="s">
        <v>42</v>
      </c>
      <c r="I23" s="366"/>
      <c r="J23" s="286"/>
      <c r="K23" s="286"/>
      <c r="L23" s="286"/>
      <c r="M23" s="286"/>
      <c r="N23" s="339"/>
      <c r="O23" s="339"/>
      <c r="P23" s="339"/>
      <c r="Q23" s="339"/>
      <c r="S23" s="49">
        <f t="shared" si="1"/>
        <v>0</v>
      </c>
      <c r="T23" s="49">
        <f t="shared" si="2"/>
        <v>0</v>
      </c>
      <c r="U23" s="49">
        <f t="shared" si="3"/>
        <v>0</v>
      </c>
      <c r="V23" s="49">
        <f t="shared" si="4"/>
        <v>0</v>
      </c>
      <c r="W23" s="49">
        <f t="shared" si="5"/>
        <v>0</v>
      </c>
      <c r="X23" s="49"/>
    </row>
    <row r="24" spans="2:33" ht="40" customHeight="1" thickBot="1" x14ac:dyDescent="0.3">
      <c r="B24" s="323"/>
      <c r="C24" s="330" t="s">
        <v>345</v>
      </c>
      <c r="D24" s="330"/>
      <c r="E24" s="330"/>
      <c r="F24" s="307"/>
      <c r="G24" s="307"/>
      <c r="H24" s="366" t="s">
        <v>42</v>
      </c>
      <c r="I24" s="366"/>
      <c r="J24" s="286"/>
      <c r="K24" s="286"/>
      <c r="L24" s="286"/>
      <c r="M24" s="286"/>
      <c r="N24" s="339"/>
      <c r="O24" s="339"/>
      <c r="P24" s="339"/>
      <c r="Q24" s="339"/>
      <c r="S24" s="49">
        <f t="shared" si="1"/>
        <v>0</v>
      </c>
      <c r="T24" s="49">
        <f t="shared" si="2"/>
        <v>0</v>
      </c>
      <c r="U24" s="49">
        <f t="shared" ref="U24:U27" si="6">IF(H24="In den meisten Fällen",0.75,0)</f>
        <v>0</v>
      </c>
      <c r="V24" s="49">
        <f t="shared" ref="V24:V27" si="7">IF(H24="In ein Paar Fällen",0.5,0)</f>
        <v>0</v>
      </c>
      <c r="W24" s="49">
        <f t="shared" ref="W24:W27" si="8">IF(H24="Gar nicht",0,0)</f>
        <v>0</v>
      </c>
      <c r="X24" s="49"/>
    </row>
    <row r="25" spans="2:33" ht="40" customHeight="1" thickBot="1" x14ac:dyDescent="0.3">
      <c r="B25" s="323"/>
      <c r="C25" s="350" t="s">
        <v>344</v>
      </c>
      <c r="D25" s="350"/>
      <c r="E25" s="350"/>
      <c r="F25" s="308"/>
      <c r="G25" s="308"/>
      <c r="H25" s="340" t="s">
        <v>42</v>
      </c>
      <c r="I25" s="340"/>
      <c r="J25" s="275"/>
      <c r="K25" s="275"/>
      <c r="L25" s="275"/>
      <c r="M25" s="275"/>
      <c r="N25" s="339"/>
      <c r="O25" s="339"/>
      <c r="P25" s="339"/>
      <c r="Q25" s="339"/>
      <c r="S25" s="149">
        <f t="shared" si="1"/>
        <v>0</v>
      </c>
      <c r="T25" s="149">
        <f t="shared" si="2"/>
        <v>0</v>
      </c>
      <c r="U25" s="149">
        <f t="shared" si="6"/>
        <v>0</v>
      </c>
      <c r="V25" s="149">
        <f t="shared" si="7"/>
        <v>0</v>
      </c>
      <c r="W25" s="149">
        <f t="shared" si="8"/>
        <v>0</v>
      </c>
      <c r="X25" s="149"/>
    </row>
    <row r="26" spans="2:33" ht="40" customHeight="1" thickBot="1" x14ac:dyDescent="0.3">
      <c r="B26" s="325">
        <v>5</v>
      </c>
      <c r="C26" s="344" t="s">
        <v>1168</v>
      </c>
      <c r="D26" s="345"/>
      <c r="E26" s="345"/>
      <c r="F26" s="351" t="s">
        <v>351</v>
      </c>
      <c r="G26" s="352"/>
      <c r="H26" s="365" t="s">
        <v>42</v>
      </c>
      <c r="I26" s="365"/>
      <c r="J26" s="351" t="s">
        <v>916</v>
      </c>
      <c r="K26" s="352"/>
      <c r="L26" s="352"/>
      <c r="M26" s="352"/>
      <c r="N26" s="272"/>
      <c r="O26" s="272"/>
      <c r="P26" s="272"/>
      <c r="Q26" s="272"/>
      <c r="S26" s="49">
        <f t="shared" si="1"/>
        <v>0</v>
      </c>
      <c r="T26" s="49">
        <f t="shared" si="2"/>
        <v>0</v>
      </c>
      <c r="U26" s="49">
        <f t="shared" si="6"/>
        <v>0</v>
      </c>
      <c r="V26" s="49">
        <f t="shared" si="7"/>
        <v>0</v>
      </c>
      <c r="W26" s="49">
        <f t="shared" si="8"/>
        <v>0</v>
      </c>
      <c r="X26" s="143">
        <f>IFERROR(SUM(T26:W29)/COUNTIF(H26:H29,"&lt;&gt;Nicht anwendbar"),"n.a.")</f>
        <v>0</v>
      </c>
      <c r="Y26" s="48">
        <f>IF(Y22=1,X26,0)</f>
        <v>0</v>
      </c>
    </row>
    <row r="27" spans="2:33" ht="40" customHeight="1" thickBot="1" x14ac:dyDescent="0.3">
      <c r="B27" s="323"/>
      <c r="C27" s="330" t="s">
        <v>347</v>
      </c>
      <c r="D27" s="330"/>
      <c r="E27" s="330"/>
      <c r="F27" s="286"/>
      <c r="G27" s="286"/>
      <c r="H27" s="366" t="s">
        <v>42</v>
      </c>
      <c r="I27" s="366"/>
      <c r="J27" s="286"/>
      <c r="K27" s="286"/>
      <c r="L27" s="286"/>
      <c r="M27" s="286"/>
      <c r="N27" s="339"/>
      <c r="O27" s="339"/>
      <c r="P27" s="339"/>
      <c r="Q27" s="339"/>
      <c r="S27" s="49">
        <f t="shared" si="1"/>
        <v>0</v>
      </c>
      <c r="T27" s="49">
        <f t="shared" si="2"/>
        <v>0</v>
      </c>
      <c r="U27" s="49">
        <f t="shared" si="6"/>
        <v>0</v>
      </c>
      <c r="V27" s="49">
        <f t="shared" si="7"/>
        <v>0</v>
      </c>
      <c r="W27" s="49">
        <f t="shared" si="8"/>
        <v>0</v>
      </c>
      <c r="X27" s="49"/>
    </row>
    <row r="28" spans="2:33" ht="40" customHeight="1" thickBot="1" x14ac:dyDescent="0.3">
      <c r="B28" s="323"/>
      <c r="C28" s="330" t="s">
        <v>350</v>
      </c>
      <c r="D28" s="330"/>
      <c r="E28" s="330"/>
      <c r="F28" s="286"/>
      <c r="G28" s="286"/>
      <c r="H28" s="366" t="s">
        <v>42</v>
      </c>
      <c r="I28" s="366"/>
      <c r="J28" s="286"/>
      <c r="K28" s="286"/>
      <c r="L28" s="286"/>
      <c r="M28" s="286"/>
      <c r="N28" s="339"/>
      <c r="O28" s="339"/>
      <c r="P28" s="339"/>
      <c r="Q28" s="339"/>
      <c r="S28" s="49">
        <f t="shared" si="1"/>
        <v>0</v>
      </c>
      <c r="T28" s="49">
        <f t="shared" si="2"/>
        <v>0</v>
      </c>
      <c r="U28" s="49">
        <f t="shared" ref="U28" si="9">IF(H28="In den meisten Fällen",0.75,0)</f>
        <v>0</v>
      </c>
      <c r="V28" s="49">
        <f t="shared" ref="V28" si="10">IF(H28="In ein Paar Fällen",0.5,0)</f>
        <v>0</v>
      </c>
      <c r="W28" s="49">
        <f t="shared" ref="W28" si="11">IF(H28="Gar nicht",0,0)</f>
        <v>0</v>
      </c>
      <c r="X28" s="49"/>
    </row>
    <row r="29" spans="2:33" ht="44.25" customHeight="1" thickBot="1" x14ac:dyDescent="0.3">
      <c r="B29" s="326"/>
      <c r="C29" s="310" t="s">
        <v>348</v>
      </c>
      <c r="D29" s="310"/>
      <c r="E29" s="310"/>
      <c r="F29" s="275"/>
      <c r="G29" s="275"/>
      <c r="H29" s="340" t="s">
        <v>42</v>
      </c>
      <c r="I29" s="340"/>
      <c r="J29" s="275"/>
      <c r="K29" s="275"/>
      <c r="L29" s="275"/>
      <c r="M29" s="275"/>
      <c r="N29" s="309"/>
      <c r="O29" s="309"/>
      <c r="P29" s="309"/>
      <c r="Q29" s="309"/>
      <c r="S29" s="49">
        <f t="shared" si="1"/>
        <v>0</v>
      </c>
      <c r="T29" s="49">
        <f t="shared" si="2"/>
        <v>0</v>
      </c>
      <c r="U29" s="49">
        <f t="shared" si="3"/>
        <v>0</v>
      </c>
      <c r="V29" s="49">
        <f t="shared" si="4"/>
        <v>0</v>
      </c>
      <c r="W29" s="49">
        <f t="shared" si="5"/>
        <v>0</v>
      </c>
      <c r="X29" s="49"/>
    </row>
  </sheetData>
  <sheetProtection formatCells="0"/>
  <protectedRanges>
    <protectedRange sqref="N31:Q32" name="Bereich1"/>
    <protectedRange sqref="N19:Q19 N22:Q22 N26:Q26" name="Bereich1_1"/>
  </protectedRanges>
  <mergeCells count="68">
    <mergeCell ref="J19:M21"/>
    <mergeCell ref="J22:M25"/>
    <mergeCell ref="J26:M29"/>
    <mergeCell ref="H27:I27"/>
    <mergeCell ref="C28:E28"/>
    <mergeCell ref="H28:I28"/>
    <mergeCell ref="C27:E27"/>
    <mergeCell ref="B26:B29"/>
    <mergeCell ref="C26:E26"/>
    <mergeCell ref="F26:G29"/>
    <mergeCell ref="H26:I26"/>
    <mergeCell ref="B22:B25"/>
    <mergeCell ref="C22:E22"/>
    <mergeCell ref="H22:I22"/>
    <mergeCell ref="C23:E23"/>
    <mergeCell ref="H23:I23"/>
    <mergeCell ref="C25:E25"/>
    <mergeCell ref="H25:I25"/>
    <mergeCell ref="C24:E24"/>
    <mergeCell ref="F22:G25"/>
    <mergeCell ref="H24:I24"/>
    <mergeCell ref="C29:E29"/>
    <mergeCell ref="H29:I29"/>
    <mergeCell ref="B19:B21"/>
    <mergeCell ref="C19:E19"/>
    <mergeCell ref="H19:I19"/>
    <mergeCell ref="C20:E20"/>
    <mergeCell ref="H20:I20"/>
    <mergeCell ref="C21:E21"/>
    <mergeCell ref="H21:I21"/>
    <mergeCell ref="F19:G21"/>
    <mergeCell ref="B17:B18"/>
    <mergeCell ref="C17:E17"/>
    <mergeCell ref="H17:I17"/>
    <mergeCell ref="C18:E18"/>
    <mergeCell ref="H18:I18"/>
    <mergeCell ref="F17:G18"/>
    <mergeCell ref="J17:M18"/>
    <mergeCell ref="B15:M15"/>
    <mergeCell ref="H16:I16"/>
    <mergeCell ref="J16:M16"/>
    <mergeCell ref="B4:M4"/>
    <mergeCell ref="C6:G6"/>
    <mergeCell ref="C7:M7"/>
    <mergeCell ref="C8:M8"/>
    <mergeCell ref="C9:M9"/>
    <mergeCell ref="C10:M10"/>
    <mergeCell ref="C14:E14"/>
    <mergeCell ref="F14:G14"/>
    <mergeCell ref="H14:I14"/>
    <mergeCell ref="J14:M14"/>
    <mergeCell ref="C16:E16"/>
    <mergeCell ref="F16:G16"/>
    <mergeCell ref="N14:Q14"/>
    <mergeCell ref="N16:Q16"/>
    <mergeCell ref="N17:Q17"/>
    <mergeCell ref="N18:Q18"/>
    <mergeCell ref="N19:Q19"/>
    <mergeCell ref="N20:Q20"/>
    <mergeCell ref="N21:Q21"/>
    <mergeCell ref="N22:Q22"/>
    <mergeCell ref="N23:Q23"/>
    <mergeCell ref="N24:Q24"/>
    <mergeCell ref="N29:Q29"/>
    <mergeCell ref="N28:Q28"/>
    <mergeCell ref="N25:Q25"/>
    <mergeCell ref="N26:Q26"/>
    <mergeCell ref="N27:Q27"/>
  </mergeCells>
  <conditionalFormatting sqref="H25:I25 H24 H16:I23">
    <cfRule type="containsText" dxfId="56" priority="4" operator="containsText" text="Bitte auswählen">
      <formula>NOT(ISERROR(SEARCH("Bitte auswählen",H16)))</formula>
    </cfRule>
  </conditionalFormatting>
  <conditionalFormatting sqref="H26:I26 H27">
    <cfRule type="containsText" dxfId="55" priority="3" operator="containsText" text="Bitte auswählen">
      <formula>NOT(ISERROR(SEARCH("Bitte auswählen",H26)))</formula>
    </cfRule>
  </conditionalFormatting>
  <conditionalFormatting sqref="H29:I29">
    <cfRule type="containsText" dxfId="54" priority="2" operator="containsText" text="Bitte auswählen">
      <formula>NOT(ISERROR(SEARCH("Bitte auswählen",H29)))</formula>
    </cfRule>
  </conditionalFormatting>
  <conditionalFormatting sqref="H28">
    <cfRule type="containsText" dxfId="53" priority="1" operator="containsText" text="Bitte auswählen">
      <formula>NOT(ISERROR(SEARCH("Bitte auswählen",H28)))</formula>
    </cfRule>
  </conditionalFormatting>
  <dataValidations xWindow="719" yWindow="374" count="2">
    <dataValidation allowBlank="1" showInputMessage="1" showErrorMessage="1" promptTitle="[+] Klicken" prompt="Hier können Sie sich erweiterte Informationen zu dem Prozess anzeigen lassen." sqref="A11" xr:uid="{00000000-0002-0000-0C00-000000000000}"/>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24BD9A66-B9CC-4F1F-87D4-6600B5B9CC8C}"/>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719" yWindow="374" count="1">
        <x14:dataValidation type="list" allowBlank="1" showInputMessage="1" showErrorMessage="1" xr:uid="{00000000-0002-0000-0C00-000001000000}">
          <x14:formula1>
            <xm:f>Data!$I$3:$I$8</xm:f>
          </x14:formula1>
          <xm:sqref>I29 I25 H16:H29 I16:I23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333399"/>
    <pageSetUpPr fitToPage="1"/>
  </sheetPr>
  <dimension ref="B4:AG28"/>
  <sheetViews>
    <sheetView showGridLines="0" zoomScale="90" zoomScaleNormal="90" zoomScalePageLayoutView="85" workbookViewId="0"/>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32.26953125" style="48" hidden="1" customWidth="1" outlineLevel="1"/>
    <col min="7" max="7" width="56.81640625" style="48" hidden="1" customWidth="1" outlineLevel="1"/>
    <col min="8" max="8" width="11.453125" style="48" collapsed="1"/>
    <col min="9" max="10" width="11.453125" style="48"/>
    <col min="11" max="11" width="13.26953125" style="48" customWidth="1"/>
    <col min="12" max="12" width="11.453125" style="48"/>
    <col min="13" max="13" width="26.453125" style="48" customWidth="1"/>
    <col min="14" max="14" width="11.453125" style="48"/>
    <col min="15" max="15" width="13.26953125" style="48" customWidth="1"/>
    <col min="16" max="16" width="11.453125" style="48"/>
    <col min="17" max="17" width="24.81640625" style="48" customWidth="1"/>
    <col min="18" max="18" width="11.453125" style="49"/>
    <col min="19" max="19" width="11.453125" style="49" customWidth="1"/>
    <col min="20" max="24" width="11.453125" style="48" customWidth="1"/>
    <col min="25" max="25" width="14" style="48" customWidth="1"/>
    <col min="26" max="32" width="11.453125" style="48" customWidth="1"/>
    <col min="33" max="33" width="11.453125" style="48" hidden="1" customWidth="1"/>
    <col min="34" max="16384" width="11.453125" style="48"/>
  </cols>
  <sheetData>
    <row r="4" spans="2:33" ht="14" x14ac:dyDescent="0.3">
      <c r="B4" s="290" t="s">
        <v>39</v>
      </c>
      <c r="C4" s="290"/>
      <c r="D4" s="290"/>
      <c r="E4" s="290"/>
      <c r="F4" s="290"/>
      <c r="G4" s="290"/>
      <c r="H4" s="290"/>
      <c r="I4" s="290"/>
      <c r="J4" s="290"/>
      <c r="K4" s="290"/>
      <c r="L4" s="290"/>
      <c r="M4" s="290"/>
      <c r="N4" s="216"/>
      <c r="O4" s="216"/>
      <c r="P4" s="216"/>
      <c r="Q4" s="216"/>
    </row>
    <row r="5" spans="2:33" ht="9" customHeight="1" x14ac:dyDescent="0.25"/>
    <row r="6" spans="2:33" ht="32.25" customHeight="1" thickBot="1" x14ac:dyDescent="0.3">
      <c r="B6" s="162" t="s">
        <v>101</v>
      </c>
      <c r="C6" s="293" t="s">
        <v>161</v>
      </c>
      <c r="D6" s="293"/>
      <c r="E6" s="293"/>
      <c r="F6" s="293"/>
      <c r="G6" s="293"/>
      <c r="H6" s="53"/>
      <c r="I6" s="53"/>
      <c r="J6" s="53"/>
      <c r="K6" s="53" t="s">
        <v>36</v>
      </c>
      <c r="L6" s="55">
        <f>ROUNDDOWN(Z16/0.25,0)*0.25</f>
        <v>0</v>
      </c>
      <c r="M6" s="54" t="str">
        <f>IF(L6&lt;1,"Unvollständig",IF(L6&lt;2,"Initial",IF(L6&lt;3,"Gemanagt",IF(L6&lt;4,"Definiert",IF(L6&lt;5,"Quantitativ gemanagt",IF(L6&lt;6,"Optimiert","Ausstehend"))))))</f>
        <v>Unvollständig</v>
      </c>
      <c r="N6" s="53"/>
      <c r="O6" s="53"/>
      <c r="P6" s="55"/>
      <c r="Q6" s="54"/>
    </row>
    <row r="7" spans="2:33" ht="35.25" hidden="1" customHeight="1" outlineLevel="1" x14ac:dyDescent="0.25">
      <c r="B7" s="76" t="s">
        <v>211</v>
      </c>
      <c r="C7" s="294" t="s">
        <v>365</v>
      </c>
      <c r="D7" s="295"/>
      <c r="E7" s="295"/>
      <c r="F7" s="295"/>
      <c r="G7" s="295"/>
      <c r="H7" s="295"/>
      <c r="I7" s="295"/>
      <c r="J7" s="295"/>
      <c r="K7" s="295"/>
      <c r="L7" s="295"/>
      <c r="M7" s="296"/>
      <c r="N7" s="218"/>
      <c r="O7" s="218"/>
      <c r="P7" s="218"/>
      <c r="Q7" s="218"/>
    </row>
    <row r="8" spans="2:33" ht="70.5" hidden="1" customHeight="1" outlineLevel="1" x14ac:dyDescent="0.25">
      <c r="B8" s="51" t="s">
        <v>212</v>
      </c>
      <c r="C8" s="297" t="s">
        <v>366</v>
      </c>
      <c r="D8" s="298"/>
      <c r="E8" s="298"/>
      <c r="F8" s="298"/>
      <c r="G8" s="298"/>
      <c r="H8" s="298"/>
      <c r="I8" s="298"/>
      <c r="J8" s="298"/>
      <c r="K8" s="298"/>
      <c r="L8" s="298"/>
      <c r="M8" s="299"/>
      <c r="N8" s="217"/>
      <c r="O8" s="217"/>
      <c r="P8" s="217"/>
      <c r="Q8" s="217"/>
    </row>
    <row r="9" spans="2:33" ht="80.25" hidden="1" customHeight="1" outlineLevel="1" x14ac:dyDescent="0.25">
      <c r="B9" s="51" t="s">
        <v>30</v>
      </c>
      <c r="C9" s="300" t="s">
        <v>368</v>
      </c>
      <c r="D9" s="301"/>
      <c r="E9" s="301"/>
      <c r="F9" s="301"/>
      <c r="G9" s="301"/>
      <c r="H9" s="301"/>
      <c r="I9" s="301"/>
      <c r="J9" s="301"/>
      <c r="K9" s="301"/>
      <c r="L9" s="301"/>
      <c r="M9" s="302"/>
      <c r="N9" s="218"/>
      <c r="O9" s="218"/>
      <c r="P9" s="218"/>
      <c r="Q9" s="218"/>
    </row>
    <row r="10" spans="2:33" ht="65.25" hidden="1" customHeight="1" outlineLevel="1" x14ac:dyDescent="0.25">
      <c r="B10" s="51" t="s">
        <v>31</v>
      </c>
      <c r="C10" s="300" t="s">
        <v>367</v>
      </c>
      <c r="D10" s="301"/>
      <c r="E10" s="301"/>
      <c r="F10" s="301"/>
      <c r="G10" s="301"/>
      <c r="H10" s="301"/>
      <c r="I10" s="301"/>
      <c r="J10" s="301"/>
      <c r="K10" s="301"/>
      <c r="L10" s="301"/>
      <c r="M10" s="302"/>
      <c r="N10" s="218"/>
      <c r="O10" s="218"/>
      <c r="P10" s="218"/>
      <c r="Q10" s="218"/>
    </row>
    <row r="11" spans="2:33" collapsed="1" x14ac:dyDescent="0.25"/>
    <row r="12" spans="2:33" ht="13" x14ac:dyDescent="0.3">
      <c r="B12" s="50" t="s">
        <v>33</v>
      </c>
      <c r="C12" s="49"/>
    </row>
    <row r="13" spans="2:33" ht="6.75" customHeight="1" x14ac:dyDescent="0.25"/>
    <row r="14" spans="2:33" ht="21.75" customHeight="1" x14ac:dyDescent="0.25">
      <c r="B14" s="52" t="s">
        <v>34</v>
      </c>
      <c r="C14" s="353" t="s">
        <v>37</v>
      </c>
      <c r="D14" s="354"/>
      <c r="E14" s="355"/>
      <c r="F14" s="341" t="s">
        <v>67</v>
      </c>
      <c r="G14" s="356"/>
      <c r="H14" s="341" t="s">
        <v>3</v>
      </c>
      <c r="I14" s="356"/>
      <c r="J14" s="341" t="s">
        <v>886</v>
      </c>
      <c r="K14" s="342"/>
      <c r="L14" s="342"/>
      <c r="M14" s="342"/>
      <c r="N14" s="341" t="s">
        <v>38</v>
      </c>
      <c r="O14" s="342"/>
      <c r="P14" s="342"/>
      <c r="Q14" s="342"/>
      <c r="T14" s="48" t="s">
        <v>35</v>
      </c>
      <c r="Y14" s="48" t="s">
        <v>45</v>
      </c>
      <c r="Z14" s="48" t="s">
        <v>44</v>
      </c>
    </row>
    <row r="15" spans="2:33" ht="1.5" customHeight="1" x14ac:dyDescent="0.3">
      <c r="B15" s="314"/>
      <c r="C15" s="314"/>
      <c r="D15" s="314"/>
      <c r="E15" s="314"/>
      <c r="F15" s="314"/>
      <c r="G15" s="314"/>
      <c r="H15" s="314"/>
      <c r="I15" s="314"/>
      <c r="J15" s="314"/>
      <c r="K15" s="314"/>
      <c r="L15" s="314"/>
      <c r="M15" s="314"/>
      <c r="N15" s="219"/>
      <c r="O15" s="219"/>
      <c r="P15" s="219"/>
      <c r="Q15" s="219"/>
    </row>
    <row r="16" spans="2:33" ht="40" customHeight="1" thickBot="1" x14ac:dyDescent="0.3">
      <c r="B16" s="180">
        <v>1</v>
      </c>
      <c r="C16" s="310" t="s">
        <v>353</v>
      </c>
      <c r="D16" s="310"/>
      <c r="E16" s="310"/>
      <c r="F16" s="310" t="s">
        <v>361</v>
      </c>
      <c r="G16" s="310"/>
      <c r="H16" s="340" t="s">
        <v>42</v>
      </c>
      <c r="I16" s="340"/>
      <c r="J16" s="340" t="s">
        <v>29</v>
      </c>
      <c r="K16" s="340"/>
      <c r="L16" s="340"/>
      <c r="M16" s="340"/>
      <c r="N16" s="340"/>
      <c r="O16" s="340"/>
      <c r="P16" s="340"/>
      <c r="Q16" s="340"/>
      <c r="S16" s="75">
        <f>IF(H16="Nicht anwendbar","n.a.",0)</f>
        <v>0</v>
      </c>
      <c r="T16" s="75">
        <f>IF(H16="Vollständig",1,0)</f>
        <v>0</v>
      </c>
      <c r="U16" s="75">
        <f>IF(H16="In den meisten Fällen",0.75,0)</f>
        <v>0</v>
      </c>
      <c r="V16" s="75">
        <f>IF(H16="In ein Paar Fällen",0.5,0)</f>
        <v>0</v>
      </c>
      <c r="W16" s="75">
        <f>IF(H16="Gar nicht",0,0)</f>
        <v>0</v>
      </c>
      <c r="X16" s="75">
        <f>IF(S16&gt;0,"n.a.",SUM(S16:W16))</f>
        <v>0</v>
      </c>
      <c r="Y16" s="48">
        <f>X16</f>
        <v>0</v>
      </c>
      <c r="Z16" s="48">
        <f>IF(Y16&lt;&gt;"n.a.",SUM(Y16,Y17,Y20,Y23,Y26),NA())</f>
        <v>0</v>
      </c>
      <c r="AG16" s="49" t="str">
        <f t="shared" ref="AG16:AG19" si="0">IF(X16&gt;0.5,"Umgesetzt","Nicht umgesetzt")</f>
        <v>Nicht umgesetzt</v>
      </c>
    </row>
    <row r="17" spans="2:33" ht="40" customHeight="1" thickBot="1" x14ac:dyDescent="0.3">
      <c r="B17" s="325">
        <v>2</v>
      </c>
      <c r="C17" s="361" t="s">
        <v>1128</v>
      </c>
      <c r="D17" s="361"/>
      <c r="E17" s="361"/>
      <c r="F17" s="361" t="s">
        <v>362</v>
      </c>
      <c r="G17" s="362"/>
      <c r="H17" s="365" t="s">
        <v>42</v>
      </c>
      <c r="I17" s="365"/>
      <c r="J17" s="351" t="s">
        <v>918</v>
      </c>
      <c r="K17" s="352"/>
      <c r="L17" s="352"/>
      <c r="M17" s="352"/>
      <c r="N17" s="339"/>
      <c r="O17" s="339"/>
      <c r="P17" s="339"/>
      <c r="Q17" s="339"/>
      <c r="S17" s="49">
        <f t="shared" ref="S17:S28" si="1">IF(H17="Nicht anwendbar","n.a.",0)</f>
        <v>0</v>
      </c>
      <c r="T17" s="49">
        <f t="shared" ref="T17:T28" si="2">IF(H17="Vollständig",1,0)</f>
        <v>0</v>
      </c>
      <c r="U17" s="49">
        <f>IF(H17="In den meisten Fällen",0.75,0)</f>
        <v>0</v>
      </c>
      <c r="V17" s="49">
        <f>IF(H17="In ein Paar Fällen",0.5,0)</f>
        <v>0</v>
      </c>
      <c r="W17" s="49">
        <f>IF(H17="Gar nicht",0,0)</f>
        <v>0</v>
      </c>
      <c r="X17" s="143">
        <f>IFERROR(SUM(T17:W19)/COUNTIF(H17:H19,"&lt;&gt;Nicht anwendbar"),"n.a.")</f>
        <v>0</v>
      </c>
      <c r="Y17" s="48">
        <f>IF(X16=1,X17,0)</f>
        <v>0</v>
      </c>
      <c r="AG17" s="49" t="str">
        <f t="shared" si="0"/>
        <v>Nicht umgesetzt</v>
      </c>
    </row>
    <row r="18" spans="2:33" ht="40" customHeight="1" thickBot="1" x14ac:dyDescent="0.3">
      <c r="B18" s="323"/>
      <c r="C18" s="330" t="s">
        <v>1129</v>
      </c>
      <c r="D18" s="330"/>
      <c r="E18" s="330"/>
      <c r="F18" s="307"/>
      <c r="G18" s="307"/>
      <c r="H18" s="366" t="s">
        <v>42</v>
      </c>
      <c r="I18" s="366"/>
      <c r="J18" s="286"/>
      <c r="K18" s="286"/>
      <c r="L18" s="286"/>
      <c r="M18" s="286"/>
      <c r="N18" s="339"/>
      <c r="O18" s="339"/>
      <c r="P18" s="339"/>
      <c r="Q18" s="339"/>
      <c r="S18" s="49">
        <f t="shared" si="1"/>
        <v>0</v>
      </c>
      <c r="T18" s="49">
        <f t="shared" si="2"/>
        <v>0</v>
      </c>
      <c r="U18" s="49">
        <f t="shared" ref="U18:U28" si="3">IF(H18="In den meisten Fällen",0.75,0)</f>
        <v>0</v>
      </c>
      <c r="V18" s="49">
        <f t="shared" ref="V18:V28" si="4">IF(H18="In ein Paar Fällen",0.5,0)</f>
        <v>0</v>
      </c>
      <c r="W18" s="49">
        <f t="shared" ref="W18:W28" si="5">IF(H18="Gar nicht",0,0)</f>
        <v>0</v>
      </c>
      <c r="X18" s="49"/>
      <c r="AG18" s="49" t="str">
        <f t="shared" si="0"/>
        <v>Nicht umgesetzt</v>
      </c>
    </row>
    <row r="19" spans="2:33" ht="40" customHeight="1" thickBot="1" x14ac:dyDescent="0.3">
      <c r="B19" s="326"/>
      <c r="C19" s="308" t="s">
        <v>354</v>
      </c>
      <c r="D19" s="308"/>
      <c r="E19" s="308"/>
      <c r="F19" s="308"/>
      <c r="G19" s="308"/>
      <c r="H19" s="340" t="s">
        <v>42</v>
      </c>
      <c r="I19" s="340"/>
      <c r="J19" s="275"/>
      <c r="K19" s="275"/>
      <c r="L19" s="275"/>
      <c r="M19" s="275"/>
      <c r="N19" s="339"/>
      <c r="O19" s="339"/>
      <c r="P19" s="339"/>
      <c r="Q19" s="339"/>
      <c r="S19" s="75">
        <f t="shared" si="1"/>
        <v>0</v>
      </c>
      <c r="T19" s="75">
        <f t="shared" si="2"/>
        <v>0</v>
      </c>
      <c r="U19" s="75">
        <f t="shared" si="3"/>
        <v>0</v>
      </c>
      <c r="V19" s="75">
        <f t="shared" si="4"/>
        <v>0</v>
      </c>
      <c r="W19" s="75">
        <f t="shared" si="5"/>
        <v>0</v>
      </c>
      <c r="X19" s="75"/>
      <c r="AG19" s="49" t="str">
        <f t="shared" si="0"/>
        <v>Nicht umgesetzt</v>
      </c>
    </row>
    <row r="20" spans="2:33" ht="40" customHeight="1" thickBot="1" x14ac:dyDescent="0.3">
      <c r="B20" s="325">
        <v>3</v>
      </c>
      <c r="C20" s="344" t="s">
        <v>355</v>
      </c>
      <c r="D20" s="345"/>
      <c r="E20" s="345"/>
      <c r="F20" s="370" t="s">
        <v>363</v>
      </c>
      <c r="G20" s="371"/>
      <c r="H20" s="365" t="s">
        <v>42</v>
      </c>
      <c r="I20" s="365"/>
      <c r="J20" s="357" t="s">
        <v>919</v>
      </c>
      <c r="K20" s="358"/>
      <c r="L20" s="358"/>
      <c r="M20" s="358"/>
      <c r="N20" s="272"/>
      <c r="O20" s="272"/>
      <c r="P20" s="272"/>
      <c r="Q20" s="272"/>
      <c r="S20" s="49">
        <f t="shared" si="1"/>
        <v>0</v>
      </c>
      <c r="T20" s="49">
        <f t="shared" si="2"/>
        <v>0</v>
      </c>
      <c r="U20" s="49">
        <f t="shared" si="3"/>
        <v>0</v>
      </c>
      <c r="V20" s="49">
        <f t="shared" si="4"/>
        <v>0</v>
      </c>
      <c r="W20" s="49">
        <f t="shared" si="5"/>
        <v>0</v>
      </c>
      <c r="X20" s="143">
        <f>IFERROR(SUM(T20:W22)/COUNTIF(H20:H22,"&lt;&gt;Nicht anwendbar"),"n.a.")</f>
        <v>0</v>
      </c>
      <c r="Y20" s="48">
        <f>IF(Y17=1,X20,0)</f>
        <v>0</v>
      </c>
    </row>
    <row r="21" spans="2:33" ht="40" customHeight="1" thickBot="1" x14ac:dyDescent="0.3">
      <c r="B21" s="323"/>
      <c r="C21" s="347" t="s">
        <v>356</v>
      </c>
      <c r="D21" s="348"/>
      <c r="E21" s="348"/>
      <c r="F21" s="337"/>
      <c r="G21" s="337"/>
      <c r="H21" s="366" t="s">
        <v>42</v>
      </c>
      <c r="I21" s="366"/>
      <c r="J21" s="282"/>
      <c r="K21" s="282"/>
      <c r="L21" s="282"/>
      <c r="M21" s="282"/>
      <c r="N21" s="339"/>
      <c r="O21" s="339"/>
      <c r="P21" s="339"/>
      <c r="Q21" s="339"/>
      <c r="S21" s="49">
        <f t="shared" si="1"/>
        <v>0</v>
      </c>
      <c r="T21" s="49">
        <f t="shared" si="2"/>
        <v>0</v>
      </c>
      <c r="U21" s="49">
        <f t="shared" si="3"/>
        <v>0</v>
      </c>
      <c r="V21" s="49">
        <f t="shared" si="4"/>
        <v>0</v>
      </c>
      <c r="W21" s="49">
        <f t="shared" si="5"/>
        <v>0</v>
      </c>
    </row>
    <row r="22" spans="2:33" ht="40" customHeight="1" thickBot="1" x14ac:dyDescent="0.3">
      <c r="B22" s="323"/>
      <c r="C22" s="349" t="s">
        <v>357</v>
      </c>
      <c r="D22" s="388"/>
      <c r="E22" s="388"/>
      <c r="F22" s="386"/>
      <c r="G22" s="386"/>
      <c r="H22" s="340" t="s">
        <v>42</v>
      </c>
      <c r="I22" s="340"/>
      <c r="J22" s="270"/>
      <c r="K22" s="270"/>
      <c r="L22" s="270"/>
      <c r="M22" s="270"/>
      <c r="N22" s="339"/>
      <c r="O22" s="339"/>
      <c r="P22" s="339"/>
      <c r="Q22" s="339"/>
      <c r="S22" s="156">
        <f t="shared" si="1"/>
        <v>0</v>
      </c>
      <c r="T22" s="156">
        <f t="shared" si="2"/>
        <v>0</v>
      </c>
      <c r="U22" s="156">
        <f t="shared" ref="U22:U24" si="6">IF(H22="In den meisten Fällen",0.75,0)</f>
        <v>0</v>
      </c>
      <c r="V22" s="156">
        <f t="shared" ref="V22:V24" si="7">IF(H22="In ein Paar Fällen",0.5,0)</f>
        <v>0</v>
      </c>
      <c r="W22" s="156">
        <f t="shared" ref="W22:W24" si="8">IF(H22="Gar nicht",0,0)</f>
        <v>0</v>
      </c>
      <c r="X22" s="156"/>
    </row>
    <row r="23" spans="2:33" ht="40" customHeight="1" thickBot="1" x14ac:dyDescent="0.3">
      <c r="B23" s="325">
        <v>4</v>
      </c>
      <c r="C23" s="343" t="s">
        <v>1169</v>
      </c>
      <c r="D23" s="343"/>
      <c r="E23" s="343"/>
      <c r="F23" s="361" t="s">
        <v>364</v>
      </c>
      <c r="G23" s="362"/>
      <c r="H23" s="365" t="s">
        <v>42</v>
      </c>
      <c r="I23" s="365"/>
      <c r="J23" s="351" t="s">
        <v>920</v>
      </c>
      <c r="K23" s="352"/>
      <c r="L23" s="352"/>
      <c r="M23" s="352"/>
      <c r="N23" s="272"/>
      <c r="O23" s="272"/>
      <c r="P23" s="272"/>
      <c r="Q23" s="272"/>
      <c r="S23" s="49">
        <f t="shared" si="1"/>
        <v>0</v>
      </c>
      <c r="T23" s="49">
        <f t="shared" si="2"/>
        <v>0</v>
      </c>
      <c r="U23" s="49">
        <f t="shared" si="6"/>
        <v>0</v>
      </c>
      <c r="V23" s="49">
        <f t="shared" si="7"/>
        <v>0</v>
      </c>
      <c r="W23" s="49">
        <f t="shared" si="8"/>
        <v>0</v>
      </c>
      <c r="X23" s="143">
        <f>IFERROR(SUM(T23:W25)/COUNTIF(H23:H25,"&lt;&gt;Nicht anwendbar"),"n.a.")</f>
        <v>0</v>
      </c>
      <c r="Y23" s="48">
        <f>IF(Y20=1,X23,0)</f>
        <v>0</v>
      </c>
    </row>
    <row r="24" spans="2:33" ht="40" customHeight="1" thickBot="1" x14ac:dyDescent="0.3">
      <c r="B24" s="323"/>
      <c r="C24" s="347" t="s">
        <v>358</v>
      </c>
      <c r="D24" s="348"/>
      <c r="E24" s="348"/>
      <c r="F24" s="350"/>
      <c r="G24" s="307"/>
      <c r="H24" s="366" t="s">
        <v>42</v>
      </c>
      <c r="I24" s="366"/>
      <c r="J24" s="286"/>
      <c r="K24" s="286"/>
      <c r="L24" s="286"/>
      <c r="M24" s="286"/>
      <c r="N24" s="339"/>
      <c r="O24" s="339"/>
      <c r="P24" s="339"/>
      <c r="Q24" s="339"/>
      <c r="S24" s="49">
        <f t="shared" si="1"/>
        <v>0</v>
      </c>
      <c r="T24" s="49">
        <f t="shared" si="2"/>
        <v>0</v>
      </c>
      <c r="U24" s="49">
        <f t="shared" si="6"/>
        <v>0</v>
      </c>
      <c r="V24" s="49">
        <f t="shared" si="7"/>
        <v>0</v>
      </c>
      <c r="W24" s="49">
        <f t="shared" si="8"/>
        <v>0</v>
      </c>
      <c r="X24" s="49"/>
    </row>
    <row r="25" spans="2:33" ht="40" customHeight="1" thickBot="1" x14ac:dyDescent="0.3">
      <c r="B25" s="323"/>
      <c r="C25" s="350" t="s">
        <v>359</v>
      </c>
      <c r="D25" s="350"/>
      <c r="E25" s="350"/>
      <c r="F25" s="308"/>
      <c r="G25" s="308"/>
      <c r="H25" s="340" t="s">
        <v>42</v>
      </c>
      <c r="I25" s="340"/>
      <c r="J25" s="275"/>
      <c r="K25" s="275"/>
      <c r="L25" s="275"/>
      <c r="M25" s="275"/>
      <c r="N25" s="339"/>
      <c r="O25" s="339"/>
      <c r="P25" s="339"/>
      <c r="Q25" s="339"/>
      <c r="S25" s="156">
        <f t="shared" si="1"/>
        <v>0</v>
      </c>
      <c r="T25" s="156">
        <f t="shared" si="2"/>
        <v>0</v>
      </c>
      <c r="U25" s="156">
        <f t="shared" si="3"/>
        <v>0</v>
      </c>
      <c r="V25" s="156">
        <f t="shared" si="4"/>
        <v>0</v>
      </c>
      <c r="W25" s="156">
        <f t="shared" si="5"/>
        <v>0</v>
      </c>
      <c r="X25" s="156"/>
    </row>
    <row r="26" spans="2:33" ht="40" customHeight="1" thickBot="1" x14ac:dyDescent="0.3">
      <c r="B26" s="325">
        <v>5</v>
      </c>
      <c r="C26" s="393" t="s">
        <v>1170</v>
      </c>
      <c r="D26" s="393"/>
      <c r="E26" s="393"/>
      <c r="F26" s="361" t="s">
        <v>370</v>
      </c>
      <c r="G26" s="362"/>
      <c r="H26" s="365" t="s">
        <v>42</v>
      </c>
      <c r="I26" s="365"/>
      <c r="J26" s="351" t="s">
        <v>921</v>
      </c>
      <c r="K26" s="352"/>
      <c r="L26" s="352"/>
      <c r="M26" s="352"/>
      <c r="N26" s="272"/>
      <c r="O26" s="272"/>
      <c r="P26" s="272"/>
      <c r="Q26" s="272"/>
      <c r="S26" s="49">
        <f t="shared" si="1"/>
        <v>0</v>
      </c>
      <c r="T26" s="49">
        <f t="shared" si="2"/>
        <v>0</v>
      </c>
      <c r="U26" s="49">
        <f t="shared" si="3"/>
        <v>0</v>
      </c>
      <c r="V26" s="49">
        <f t="shared" si="4"/>
        <v>0</v>
      </c>
      <c r="W26" s="49">
        <f t="shared" si="5"/>
        <v>0</v>
      </c>
      <c r="X26" s="143">
        <f>IFERROR(SUM(T26:W28)/COUNTIF(H26:H28,"&lt;&gt;Nicht anwendbar"),"n.a.")</f>
        <v>0</v>
      </c>
      <c r="Y26" s="48">
        <f>IF(Y23=1,X26,0)</f>
        <v>0</v>
      </c>
    </row>
    <row r="27" spans="2:33" ht="40" customHeight="1" thickBot="1" x14ac:dyDescent="0.3">
      <c r="B27" s="323"/>
      <c r="C27" s="347" t="s">
        <v>369</v>
      </c>
      <c r="D27" s="348"/>
      <c r="E27" s="348"/>
      <c r="F27" s="350"/>
      <c r="G27" s="307"/>
      <c r="H27" s="366" t="s">
        <v>42</v>
      </c>
      <c r="I27" s="366"/>
      <c r="J27" s="286"/>
      <c r="K27" s="286"/>
      <c r="L27" s="286"/>
      <c r="M27" s="286"/>
      <c r="N27" s="339"/>
      <c r="O27" s="339"/>
      <c r="P27" s="339"/>
      <c r="Q27" s="339"/>
      <c r="S27" s="49">
        <f t="shared" si="1"/>
        <v>0</v>
      </c>
      <c r="T27" s="49">
        <f t="shared" si="2"/>
        <v>0</v>
      </c>
      <c r="U27" s="49">
        <f t="shared" ref="U27" si="9">IF(H27="In den meisten Fällen",0.75,0)</f>
        <v>0</v>
      </c>
      <c r="V27" s="49">
        <f t="shared" ref="V27" si="10">IF(H27="In ein Paar Fällen",0.5,0)</f>
        <v>0</v>
      </c>
      <c r="W27" s="49">
        <f t="shared" ref="W27" si="11">IF(H27="Gar nicht",0,0)</f>
        <v>0</v>
      </c>
      <c r="X27" s="49"/>
    </row>
    <row r="28" spans="2:33" ht="40" customHeight="1" thickBot="1" x14ac:dyDescent="0.3">
      <c r="B28" s="326"/>
      <c r="C28" s="310" t="s">
        <v>360</v>
      </c>
      <c r="D28" s="310"/>
      <c r="E28" s="310"/>
      <c r="F28" s="308"/>
      <c r="G28" s="308"/>
      <c r="H28" s="340" t="s">
        <v>42</v>
      </c>
      <c r="I28" s="340"/>
      <c r="J28" s="275"/>
      <c r="K28" s="275"/>
      <c r="L28" s="275"/>
      <c r="M28" s="275"/>
      <c r="N28" s="309"/>
      <c r="O28" s="309"/>
      <c r="P28" s="309"/>
      <c r="Q28" s="309"/>
      <c r="S28" s="156">
        <f t="shared" si="1"/>
        <v>0</v>
      </c>
      <c r="T28" s="156">
        <f t="shared" si="2"/>
        <v>0</v>
      </c>
      <c r="U28" s="156">
        <f t="shared" si="3"/>
        <v>0</v>
      </c>
      <c r="V28" s="156">
        <f t="shared" si="4"/>
        <v>0</v>
      </c>
      <c r="W28" s="156">
        <f t="shared" si="5"/>
        <v>0</v>
      </c>
      <c r="X28" s="156"/>
    </row>
  </sheetData>
  <sheetProtection formatCells="0"/>
  <protectedRanges>
    <protectedRange sqref="N31:Q32" name="Bereich1"/>
  </protectedRanges>
  <mergeCells count="65">
    <mergeCell ref="F23:G25"/>
    <mergeCell ref="F26:G28"/>
    <mergeCell ref="B26:B28"/>
    <mergeCell ref="C26:E26"/>
    <mergeCell ref="H26:I26"/>
    <mergeCell ref="C28:E28"/>
    <mergeCell ref="H28:I28"/>
    <mergeCell ref="B23:B25"/>
    <mergeCell ref="C23:E23"/>
    <mergeCell ref="H23:I23"/>
    <mergeCell ref="C25:E25"/>
    <mergeCell ref="H25:I25"/>
    <mergeCell ref="C24:E24"/>
    <mergeCell ref="H24:I24"/>
    <mergeCell ref="C27:E27"/>
    <mergeCell ref="H27:I27"/>
    <mergeCell ref="B20:B22"/>
    <mergeCell ref="C20:E20"/>
    <mergeCell ref="H20:I20"/>
    <mergeCell ref="C21:E21"/>
    <mergeCell ref="H21:I21"/>
    <mergeCell ref="C22:E22"/>
    <mergeCell ref="H22:I22"/>
    <mergeCell ref="F20:G22"/>
    <mergeCell ref="H16:I16"/>
    <mergeCell ref="J16:M16"/>
    <mergeCell ref="B17:B19"/>
    <mergeCell ref="C17:E17"/>
    <mergeCell ref="H17:I17"/>
    <mergeCell ref="C18:E18"/>
    <mergeCell ref="H18:I18"/>
    <mergeCell ref="C19:E19"/>
    <mergeCell ref="H19:I19"/>
    <mergeCell ref="F17:G19"/>
    <mergeCell ref="J17:M19"/>
    <mergeCell ref="J20:M22"/>
    <mergeCell ref="J23:M25"/>
    <mergeCell ref="J26:M28"/>
    <mergeCell ref="B15:M15"/>
    <mergeCell ref="B4:M4"/>
    <mergeCell ref="C6:G6"/>
    <mergeCell ref="C7:M7"/>
    <mergeCell ref="C8:M8"/>
    <mergeCell ref="C9:M9"/>
    <mergeCell ref="C10:M10"/>
    <mergeCell ref="C14:E14"/>
    <mergeCell ref="F14:G14"/>
    <mergeCell ref="H14:I14"/>
    <mergeCell ref="J14:M14"/>
    <mergeCell ref="C16:E16"/>
    <mergeCell ref="F16:G16"/>
    <mergeCell ref="N14:Q14"/>
    <mergeCell ref="N16:Q16"/>
    <mergeCell ref="N17:Q17"/>
    <mergeCell ref="N18:Q18"/>
    <mergeCell ref="N19:Q19"/>
    <mergeCell ref="N25:Q25"/>
    <mergeCell ref="N26:Q26"/>
    <mergeCell ref="N27:Q27"/>
    <mergeCell ref="N28:Q28"/>
    <mergeCell ref="N20:Q20"/>
    <mergeCell ref="N21:Q21"/>
    <mergeCell ref="N22:Q22"/>
    <mergeCell ref="N23:Q23"/>
    <mergeCell ref="N24:Q24"/>
  </mergeCells>
  <conditionalFormatting sqref="H16:I28">
    <cfRule type="containsText" dxfId="52" priority="1" operator="containsText" text="Bitte auswählen">
      <formula>NOT(ISERROR(SEARCH("Bitte auswählen",H16)))</formula>
    </cfRule>
  </conditionalFormatting>
  <dataValidations xWindow="753" yWindow="409" count="2">
    <dataValidation allowBlank="1" showInputMessage="1" showErrorMessage="1" promptTitle="[+] Klicken" prompt="Hier können Sie sich erweiterte Informationen zu dem Prozess anzeigen lassen." sqref="A11" xr:uid="{00000000-0002-0000-0D00-000000000000}"/>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0D010AC9-F898-4D89-8ACC-51EFBD820D00}"/>
  </dataValidations>
  <hyperlinks>
    <hyperlink ref="C26:E26" location="Glossar!A1" display="Wird das Metadatenmodell regelmäßig weiterentwickelt (z. B. neue Kategorien, semantische Modelle, Ontologien)?" xr:uid="{F9716A31-0DCD-4E43-91B0-954F520CE679}"/>
  </hyperlink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753" yWindow="409" count="1">
        <x14:dataValidation type="list" allowBlank="1" showInputMessage="1" showErrorMessage="1" xr:uid="{00000000-0002-0000-0D00-000001000000}">
          <x14:formula1>
            <xm:f>Data!$I$3:$I$8</xm:f>
          </x14:formula1>
          <xm:sqref>H16:I28</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333399"/>
    <pageSetUpPr fitToPage="1"/>
  </sheetPr>
  <dimension ref="B4:AG27"/>
  <sheetViews>
    <sheetView showGridLines="0" zoomScale="90" zoomScaleNormal="90" zoomScalePageLayoutView="85" workbookViewId="0"/>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40.54296875" style="48" hidden="1" customWidth="1" outlineLevel="1"/>
    <col min="7" max="7" width="57" style="48" hidden="1" customWidth="1" outlineLevel="1"/>
    <col min="8" max="8" width="11.453125" style="48" collapsed="1"/>
    <col min="9" max="10" width="11.453125" style="48"/>
    <col min="11" max="11" width="13.26953125" style="48" customWidth="1"/>
    <col min="12" max="12" width="11.453125" style="48"/>
    <col min="13" max="13" width="32.54296875" style="48" customWidth="1"/>
    <col min="14" max="14" width="11.453125" style="48"/>
    <col min="15" max="15" width="13.26953125" style="48" customWidth="1"/>
    <col min="16" max="16" width="11.453125" style="48"/>
    <col min="17" max="17" width="24.81640625" style="48" customWidth="1"/>
    <col min="18" max="18" width="11.453125" style="49"/>
    <col min="19" max="24" width="11.453125" style="48" customWidth="1"/>
    <col min="25" max="25" width="14" style="48" customWidth="1"/>
    <col min="26" max="32" width="11.453125" style="48" customWidth="1"/>
    <col min="33" max="33" width="11.453125" style="48" hidden="1" customWidth="1"/>
    <col min="34" max="16384" width="11.453125" style="48"/>
  </cols>
  <sheetData>
    <row r="4" spans="2:33" ht="14" x14ac:dyDescent="0.3">
      <c r="B4" s="290" t="s">
        <v>39</v>
      </c>
      <c r="C4" s="290"/>
      <c r="D4" s="290"/>
      <c r="E4" s="290"/>
      <c r="F4" s="290"/>
      <c r="G4" s="290"/>
      <c r="H4" s="290"/>
      <c r="I4" s="290"/>
      <c r="J4" s="290"/>
      <c r="K4" s="290"/>
      <c r="L4" s="290"/>
      <c r="M4" s="290"/>
      <c r="N4" s="216"/>
      <c r="O4" s="216"/>
      <c r="P4" s="216"/>
      <c r="Q4" s="216"/>
    </row>
    <row r="5" spans="2:33" ht="9" customHeight="1" x14ac:dyDescent="0.25"/>
    <row r="6" spans="2:33" ht="32.25" customHeight="1" thickBot="1" x14ac:dyDescent="0.3">
      <c r="B6" s="162" t="s">
        <v>103</v>
      </c>
      <c r="C6" s="293" t="s">
        <v>162</v>
      </c>
      <c r="D6" s="293"/>
      <c r="E6" s="293"/>
      <c r="F6" s="293"/>
      <c r="G6" s="293"/>
      <c r="H6" s="53"/>
      <c r="I6" s="53"/>
      <c r="J6" s="53"/>
      <c r="K6" s="53" t="s">
        <v>36</v>
      </c>
      <c r="L6" s="55">
        <f>ROUNDDOWN(Z16/0.25,0)*0.25</f>
        <v>0</v>
      </c>
      <c r="M6" s="54" t="str">
        <f>IF(L6&lt;1,"Unvollständig",IF(L6&lt;2,"Initial",IF(L6&lt;3,"Gemanagt",IF(L6&lt;4,"Definiert",IF(L6&lt;5,"Quantitativ gemanagt",IF(L6&lt;6,"Optimiert","Ausstehend"))))))</f>
        <v>Unvollständig</v>
      </c>
      <c r="N6" s="53"/>
      <c r="O6" s="53"/>
      <c r="P6" s="55"/>
      <c r="Q6" s="54"/>
    </row>
    <row r="7" spans="2:33" ht="35.25" hidden="1" customHeight="1" outlineLevel="1" x14ac:dyDescent="0.25">
      <c r="B7" s="76" t="s">
        <v>211</v>
      </c>
      <c r="C7" s="294" t="s">
        <v>780</v>
      </c>
      <c r="D7" s="295"/>
      <c r="E7" s="295"/>
      <c r="F7" s="295"/>
      <c r="G7" s="295"/>
      <c r="H7" s="295"/>
      <c r="I7" s="295"/>
      <c r="J7" s="295"/>
      <c r="K7" s="295"/>
      <c r="L7" s="295"/>
      <c r="M7" s="296"/>
      <c r="N7" s="218"/>
      <c r="O7" s="218"/>
      <c r="P7" s="218"/>
      <c r="Q7" s="218"/>
    </row>
    <row r="8" spans="2:33" ht="70.5" hidden="1" customHeight="1" outlineLevel="1" x14ac:dyDescent="0.25">
      <c r="B8" s="51" t="s">
        <v>212</v>
      </c>
      <c r="C8" s="297" t="s">
        <v>371</v>
      </c>
      <c r="D8" s="298"/>
      <c r="E8" s="298"/>
      <c r="F8" s="298"/>
      <c r="G8" s="298"/>
      <c r="H8" s="298"/>
      <c r="I8" s="298"/>
      <c r="J8" s="298"/>
      <c r="K8" s="298"/>
      <c r="L8" s="298"/>
      <c r="M8" s="299"/>
      <c r="N8" s="217"/>
      <c r="O8" s="217"/>
      <c r="P8" s="217"/>
      <c r="Q8" s="217"/>
    </row>
    <row r="9" spans="2:33" ht="75" hidden="1" customHeight="1" outlineLevel="1" x14ac:dyDescent="0.25">
      <c r="B9" s="51" t="s">
        <v>30</v>
      </c>
      <c r="C9" s="300" t="s">
        <v>372</v>
      </c>
      <c r="D9" s="301"/>
      <c r="E9" s="301"/>
      <c r="F9" s="301"/>
      <c r="G9" s="301"/>
      <c r="H9" s="301"/>
      <c r="I9" s="301"/>
      <c r="J9" s="301"/>
      <c r="K9" s="301"/>
      <c r="L9" s="301"/>
      <c r="M9" s="302"/>
      <c r="N9" s="218"/>
      <c r="O9" s="218"/>
      <c r="P9" s="218"/>
      <c r="Q9" s="218"/>
    </row>
    <row r="10" spans="2:33" ht="65.25" hidden="1" customHeight="1" outlineLevel="1" x14ac:dyDescent="0.25">
      <c r="B10" s="51" t="s">
        <v>31</v>
      </c>
      <c r="C10" s="300" t="s">
        <v>373</v>
      </c>
      <c r="D10" s="301"/>
      <c r="E10" s="301"/>
      <c r="F10" s="301"/>
      <c r="G10" s="301"/>
      <c r="H10" s="301"/>
      <c r="I10" s="301"/>
      <c r="J10" s="301"/>
      <c r="K10" s="301"/>
      <c r="L10" s="301"/>
      <c r="M10" s="302"/>
      <c r="N10" s="218"/>
      <c r="O10" s="218"/>
      <c r="P10" s="218"/>
      <c r="Q10" s="218"/>
    </row>
    <row r="11" spans="2:33" collapsed="1" x14ac:dyDescent="0.25"/>
    <row r="12" spans="2:33" ht="13" x14ac:dyDescent="0.3">
      <c r="B12" s="50" t="s">
        <v>33</v>
      </c>
      <c r="C12" s="49"/>
    </row>
    <row r="13" spans="2:33" ht="6.75" customHeight="1" x14ac:dyDescent="0.25"/>
    <row r="14" spans="2:33" ht="21.75" customHeight="1" x14ac:dyDescent="0.25">
      <c r="B14" s="52" t="s">
        <v>34</v>
      </c>
      <c r="C14" s="353" t="s">
        <v>37</v>
      </c>
      <c r="D14" s="354"/>
      <c r="E14" s="355"/>
      <c r="F14" s="341" t="s">
        <v>67</v>
      </c>
      <c r="G14" s="356"/>
      <c r="H14" s="341" t="s">
        <v>3</v>
      </c>
      <c r="I14" s="356"/>
      <c r="J14" s="341" t="s">
        <v>886</v>
      </c>
      <c r="K14" s="342"/>
      <c r="L14" s="342"/>
      <c r="M14" s="342"/>
      <c r="N14" s="341" t="s">
        <v>38</v>
      </c>
      <c r="O14" s="342"/>
      <c r="P14" s="342"/>
      <c r="Q14" s="342"/>
      <c r="T14" s="48" t="s">
        <v>35</v>
      </c>
      <c r="Y14" s="48" t="s">
        <v>45</v>
      </c>
      <c r="Z14" s="48" t="s">
        <v>44</v>
      </c>
    </row>
    <row r="15" spans="2:33" ht="1.5" customHeight="1" x14ac:dyDescent="0.3">
      <c r="B15" s="314"/>
      <c r="C15" s="314"/>
      <c r="D15" s="314"/>
      <c r="E15" s="314"/>
      <c r="F15" s="314"/>
      <c r="G15" s="314"/>
      <c r="H15" s="314"/>
      <c r="I15" s="314"/>
      <c r="J15" s="314"/>
      <c r="K15" s="314"/>
      <c r="L15" s="314"/>
      <c r="M15" s="314"/>
      <c r="N15" s="219"/>
      <c r="O15" s="219"/>
      <c r="P15" s="219"/>
      <c r="Q15" s="219"/>
    </row>
    <row r="16" spans="2:33" ht="40" customHeight="1" thickBot="1" x14ac:dyDescent="0.35">
      <c r="B16" s="190">
        <v>1</v>
      </c>
      <c r="C16" s="310" t="s">
        <v>1130</v>
      </c>
      <c r="D16" s="310"/>
      <c r="E16" s="310"/>
      <c r="F16" s="386" t="s">
        <v>374</v>
      </c>
      <c r="G16" s="386"/>
      <c r="H16" s="340" t="s">
        <v>42</v>
      </c>
      <c r="I16" s="340"/>
      <c r="J16" s="340" t="s">
        <v>29</v>
      </c>
      <c r="K16" s="340"/>
      <c r="L16" s="340"/>
      <c r="M16" s="340"/>
      <c r="N16" s="340"/>
      <c r="O16" s="340"/>
      <c r="P16" s="340"/>
      <c r="Q16" s="340"/>
      <c r="S16" s="74">
        <f>IF(H16="Nicht anwendbar","n.a.",0)</f>
        <v>0</v>
      </c>
      <c r="T16" s="75">
        <f>IF(H16="Vollständig",1,0)</f>
        <v>0</v>
      </c>
      <c r="U16" s="75">
        <f t="shared" ref="U16:U27" si="0">IF(H16="In den meisten Fällen",0.75,0)</f>
        <v>0</v>
      </c>
      <c r="V16" s="75">
        <f t="shared" ref="V16:V27" si="1">IF(H16="In ein Paar Fällen",0.5,0)</f>
        <v>0</v>
      </c>
      <c r="W16" s="75">
        <f t="shared" ref="W16:W27" si="2">IF(H16="Gar nicht",0,0)</f>
        <v>0</v>
      </c>
      <c r="X16" s="75">
        <f>IF(S16&gt;0,"n.a.",SUM(S16:W16))</f>
        <v>0</v>
      </c>
      <c r="Y16" s="48">
        <f>X16</f>
        <v>0</v>
      </c>
      <c r="Z16" s="48">
        <f>IF(Y16&lt;&gt;"n.a.",SUM(Y16,Y17,Y19,Y22,Y25),NA())</f>
        <v>0</v>
      </c>
      <c r="AG16" s="49" t="str">
        <f t="shared" ref="AG16:AG18" si="3">IF(X16&gt;0.5,"Umgesetzt","Nicht umgesetzt")</f>
        <v>Nicht umgesetzt</v>
      </c>
    </row>
    <row r="17" spans="2:33" ht="40" customHeight="1" thickBot="1" x14ac:dyDescent="0.3">
      <c r="B17" s="325">
        <v>2</v>
      </c>
      <c r="C17" s="343" t="s">
        <v>375</v>
      </c>
      <c r="D17" s="343"/>
      <c r="E17" s="343"/>
      <c r="F17" s="361" t="s">
        <v>377</v>
      </c>
      <c r="G17" s="362"/>
      <c r="H17" s="365" t="s">
        <v>42</v>
      </c>
      <c r="I17" s="365"/>
      <c r="J17" s="352" t="s">
        <v>922</v>
      </c>
      <c r="K17" s="352"/>
      <c r="L17" s="352"/>
      <c r="M17" s="352"/>
      <c r="N17" s="339"/>
      <c r="O17" s="339"/>
      <c r="P17" s="339"/>
      <c r="Q17" s="339"/>
      <c r="S17" s="49">
        <f t="shared" ref="S17:S27" si="4">IF(H17="Nicht anwendbar","n.a.",0)</f>
        <v>0</v>
      </c>
      <c r="T17" s="49">
        <f t="shared" ref="T17:T27" si="5">IF(H17="Vollständig",1,0)</f>
        <v>0</v>
      </c>
      <c r="U17" s="49">
        <f t="shared" si="0"/>
        <v>0</v>
      </c>
      <c r="V17" s="49">
        <f t="shared" si="1"/>
        <v>0</v>
      </c>
      <c r="W17" s="49">
        <f t="shared" si="2"/>
        <v>0</v>
      </c>
      <c r="X17" s="143">
        <f>IFERROR(SUM(T17:W18)/COUNTIF(H17:H18,"&lt;&gt;Nicht anwendbar"),"n.a.")</f>
        <v>0</v>
      </c>
      <c r="Y17" s="48">
        <f>IF(X16=1,X17,0)</f>
        <v>0</v>
      </c>
      <c r="AG17" s="49" t="str">
        <f t="shared" si="3"/>
        <v>Nicht umgesetzt</v>
      </c>
    </row>
    <row r="18" spans="2:33" ht="40" customHeight="1" thickBot="1" x14ac:dyDescent="0.3">
      <c r="B18" s="326"/>
      <c r="C18" s="308" t="s">
        <v>376</v>
      </c>
      <c r="D18" s="308"/>
      <c r="E18" s="308"/>
      <c r="F18" s="308"/>
      <c r="G18" s="308"/>
      <c r="H18" s="340" t="s">
        <v>42</v>
      </c>
      <c r="I18" s="340"/>
      <c r="J18" s="275"/>
      <c r="K18" s="275"/>
      <c r="L18" s="275"/>
      <c r="M18" s="275"/>
      <c r="N18" s="339"/>
      <c r="O18" s="339"/>
      <c r="P18" s="339"/>
      <c r="Q18" s="339"/>
      <c r="S18" s="75">
        <f t="shared" si="4"/>
        <v>0</v>
      </c>
      <c r="T18" s="75">
        <f t="shared" si="5"/>
        <v>0</v>
      </c>
      <c r="U18" s="75">
        <f t="shared" si="0"/>
        <v>0</v>
      </c>
      <c r="V18" s="75">
        <f t="shared" si="1"/>
        <v>0</v>
      </c>
      <c r="W18" s="75">
        <f t="shared" si="2"/>
        <v>0</v>
      </c>
      <c r="X18" s="75"/>
      <c r="AG18" s="49" t="str">
        <f t="shared" si="3"/>
        <v>Nicht umgesetzt</v>
      </c>
    </row>
    <row r="19" spans="2:33" ht="40" customHeight="1" thickBot="1" x14ac:dyDescent="0.3">
      <c r="B19" s="325">
        <v>3</v>
      </c>
      <c r="C19" s="344" t="s">
        <v>379</v>
      </c>
      <c r="D19" s="345"/>
      <c r="E19" s="345"/>
      <c r="F19" s="370" t="s">
        <v>386</v>
      </c>
      <c r="G19" s="371"/>
      <c r="H19" s="365" t="s">
        <v>42</v>
      </c>
      <c r="I19" s="365"/>
      <c r="J19" s="357" t="s">
        <v>923</v>
      </c>
      <c r="K19" s="358"/>
      <c r="L19" s="358"/>
      <c r="M19" s="358"/>
      <c r="N19" s="272"/>
      <c r="O19" s="272"/>
      <c r="P19" s="272"/>
      <c r="Q19" s="272"/>
      <c r="S19" s="48">
        <f t="shared" si="4"/>
        <v>0</v>
      </c>
      <c r="T19" s="49">
        <f t="shared" si="5"/>
        <v>0</v>
      </c>
      <c r="U19" s="49">
        <f t="shared" si="0"/>
        <v>0</v>
      </c>
      <c r="V19" s="49">
        <f t="shared" si="1"/>
        <v>0</v>
      </c>
      <c r="W19" s="49">
        <f t="shared" si="2"/>
        <v>0</v>
      </c>
      <c r="X19" s="143">
        <f>IFERROR(SUM(T19:W21)/COUNTIF(H19:H21,"&lt;&gt;Nicht anwendbar"),"n.a.")</f>
        <v>0</v>
      </c>
      <c r="Y19" s="48">
        <f>IF(Y17=1,X19,0)</f>
        <v>0</v>
      </c>
    </row>
    <row r="20" spans="2:33" ht="40" customHeight="1" thickBot="1" x14ac:dyDescent="0.3">
      <c r="B20" s="323"/>
      <c r="C20" s="347" t="s">
        <v>378</v>
      </c>
      <c r="D20" s="348"/>
      <c r="E20" s="348"/>
      <c r="F20" s="337"/>
      <c r="G20" s="337"/>
      <c r="H20" s="366" t="s">
        <v>42</v>
      </c>
      <c r="I20" s="366"/>
      <c r="J20" s="282"/>
      <c r="K20" s="282"/>
      <c r="L20" s="282"/>
      <c r="M20" s="282"/>
      <c r="N20" s="339"/>
      <c r="O20" s="339"/>
      <c r="P20" s="339"/>
      <c r="Q20" s="339"/>
      <c r="S20" s="48">
        <f t="shared" si="4"/>
        <v>0</v>
      </c>
      <c r="T20" s="49">
        <f t="shared" si="5"/>
        <v>0</v>
      </c>
      <c r="U20" s="49">
        <f t="shared" si="0"/>
        <v>0</v>
      </c>
      <c r="V20" s="49">
        <f t="shared" si="1"/>
        <v>0</v>
      </c>
      <c r="W20" s="49">
        <f t="shared" si="2"/>
        <v>0</v>
      </c>
    </row>
    <row r="21" spans="2:33" ht="40" customHeight="1" thickBot="1" x14ac:dyDescent="0.3">
      <c r="B21" s="323"/>
      <c r="C21" s="349" t="s">
        <v>380</v>
      </c>
      <c r="D21" s="388"/>
      <c r="E21" s="388"/>
      <c r="F21" s="386"/>
      <c r="G21" s="386"/>
      <c r="H21" s="340" t="s">
        <v>42</v>
      </c>
      <c r="I21" s="340"/>
      <c r="J21" s="270"/>
      <c r="K21" s="270"/>
      <c r="L21" s="270"/>
      <c r="M21" s="270"/>
      <c r="N21" s="339"/>
      <c r="O21" s="339"/>
      <c r="P21" s="339"/>
      <c r="Q21" s="339"/>
      <c r="S21" s="149">
        <f t="shared" si="4"/>
        <v>0</v>
      </c>
      <c r="T21" s="149">
        <f t="shared" si="5"/>
        <v>0</v>
      </c>
      <c r="U21" s="149">
        <f t="shared" si="0"/>
        <v>0</v>
      </c>
      <c r="V21" s="149">
        <f t="shared" si="1"/>
        <v>0</v>
      </c>
      <c r="W21" s="149">
        <f t="shared" si="2"/>
        <v>0</v>
      </c>
      <c r="X21" s="149"/>
    </row>
    <row r="22" spans="2:33" ht="40" customHeight="1" thickBot="1" x14ac:dyDescent="0.3">
      <c r="B22" s="325">
        <v>4</v>
      </c>
      <c r="C22" s="343" t="s">
        <v>381</v>
      </c>
      <c r="D22" s="343"/>
      <c r="E22" s="343"/>
      <c r="F22" s="361" t="s">
        <v>387</v>
      </c>
      <c r="G22" s="362"/>
      <c r="H22" s="365" t="s">
        <v>42</v>
      </c>
      <c r="I22" s="365"/>
      <c r="J22" s="351" t="s">
        <v>924</v>
      </c>
      <c r="K22" s="352"/>
      <c r="L22" s="352"/>
      <c r="M22" s="352"/>
      <c r="N22" s="272"/>
      <c r="O22" s="272"/>
      <c r="P22" s="272"/>
      <c r="Q22" s="272"/>
      <c r="S22" s="49">
        <f t="shared" si="4"/>
        <v>0</v>
      </c>
      <c r="T22" s="49">
        <f t="shared" si="5"/>
        <v>0</v>
      </c>
      <c r="U22" s="49">
        <f t="shared" si="0"/>
        <v>0</v>
      </c>
      <c r="V22" s="49">
        <f t="shared" si="1"/>
        <v>0</v>
      </c>
      <c r="W22" s="49">
        <f t="shared" si="2"/>
        <v>0</v>
      </c>
      <c r="X22" s="143">
        <f>IFERROR(SUM(T22:W24)/COUNTIF(H22:H24,"&lt;&gt;Nicht anwendbar"),"n.a.")</f>
        <v>0</v>
      </c>
      <c r="Y22" s="48">
        <f>IF(Y19=1,X22,0)</f>
        <v>0</v>
      </c>
    </row>
    <row r="23" spans="2:33" ht="40" customHeight="1" thickBot="1" x14ac:dyDescent="0.3">
      <c r="B23" s="323"/>
      <c r="C23" s="347" t="s">
        <v>382</v>
      </c>
      <c r="D23" s="348"/>
      <c r="E23" s="348"/>
      <c r="F23" s="350"/>
      <c r="G23" s="307"/>
      <c r="H23" s="366" t="s">
        <v>42</v>
      </c>
      <c r="I23" s="366"/>
      <c r="J23" s="286"/>
      <c r="K23" s="286"/>
      <c r="L23" s="286"/>
      <c r="M23" s="286"/>
      <c r="N23" s="339"/>
      <c r="O23" s="339"/>
      <c r="P23" s="339"/>
      <c r="Q23" s="339"/>
      <c r="S23" s="49">
        <f t="shared" si="4"/>
        <v>0</v>
      </c>
      <c r="T23" s="49">
        <f t="shared" si="5"/>
        <v>0</v>
      </c>
      <c r="U23" s="49">
        <f t="shared" si="0"/>
        <v>0</v>
      </c>
      <c r="V23" s="49">
        <f t="shared" si="1"/>
        <v>0</v>
      </c>
      <c r="W23" s="49">
        <f t="shared" si="2"/>
        <v>0</v>
      </c>
      <c r="X23" s="49"/>
    </row>
    <row r="24" spans="2:33" ht="40" customHeight="1" thickBot="1" x14ac:dyDescent="0.3">
      <c r="B24" s="323"/>
      <c r="C24" s="347" t="s">
        <v>1132</v>
      </c>
      <c r="D24" s="348"/>
      <c r="E24" s="348"/>
      <c r="F24" s="308"/>
      <c r="G24" s="308"/>
      <c r="H24" s="340" t="s">
        <v>42</v>
      </c>
      <c r="I24" s="340"/>
      <c r="J24" s="275"/>
      <c r="K24" s="275"/>
      <c r="L24" s="275"/>
      <c r="M24" s="275"/>
      <c r="N24" s="339"/>
      <c r="O24" s="339"/>
      <c r="P24" s="339"/>
      <c r="Q24" s="339"/>
      <c r="S24" s="149">
        <f t="shared" si="4"/>
        <v>0</v>
      </c>
      <c r="T24" s="149">
        <f t="shared" si="5"/>
        <v>0</v>
      </c>
      <c r="U24" s="149">
        <f t="shared" si="0"/>
        <v>0</v>
      </c>
      <c r="V24" s="149">
        <f t="shared" si="1"/>
        <v>0</v>
      </c>
      <c r="W24" s="149">
        <f t="shared" si="2"/>
        <v>0</v>
      </c>
      <c r="X24" s="149"/>
    </row>
    <row r="25" spans="2:33" ht="40" customHeight="1" thickBot="1" x14ac:dyDescent="0.3">
      <c r="B25" s="325">
        <v>5</v>
      </c>
      <c r="C25" s="343" t="s">
        <v>383</v>
      </c>
      <c r="D25" s="343"/>
      <c r="E25" s="343"/>
      <c r="F25" s="361" t="s">
        <v>388</v>
      </c>
      <c r="G25" s="362"/>
      <c r="H25" s="365" t="s">
        <v>42</v>
      </c>
      <c r="I25" s="365"/>
      <c r="J25" s="351" t="s">
        <v>925</v>
      </c>
      <c r="K25" s="352"/>
      <c r="L25" s="352"/>
      <c r="M25" s="352"/>
      <c r="N25" s="272"/>
      <c r="O25" s="272"/>
      <c r="P25" s="272"/>
      <c r="Q25" s="272"/>
      <c r="S25" s="48">
        <f t="shared" si="4"/>
        <v>0</v>
      </c>
      <c r="T25" s="49">
        <f t="shared" si="5"/>
        <v>0</v>
      </c>
      <c r="U25" s="49">
        <f t="shared" si="0"/>
        <v>0</v>
      </c>
      <c r="V25" s="49">
        <f t="shared" si="1"/>
        <v>0</v>
      </c>
      <c r="W25" s="49">
        <f t="shared" si="2"/>
        <v>0</v>
      </c>
      <c r="X25" s="143">
        <f>IFERROR(SUM(T25:W27)/COUNTIF(H25:H27,"&lt;&gt;Nicht anwendbar"),"n.a.")</f>
        <v>0</v>
      </c>
      <c r="Y25" s="48">
        <f>IF(Y22=1,X25,0)</f>
        <v>0</v>
      </c>
    </row>
    <row r="26" spans="2:33" ht="40" customHeight="1" thickBot="1" x14ac:dyDescent="0.3">
      <c r="B26" s="323"/>
      <c r="C26" s="330" t="s">
        <v>384</v>
      </c>
      <c r="D26" s="330"/>
      <c r="E26" s="330"/>
      <c r="F26" s="307"/>
      <c r="G26" s="307"/>
      <c r="H26" s="366" t="s">
        <v>42</v>
      </c>
      <c r="I26" s="366"/>
      <c r="J26" s="286"/>
      <c r="K26" s="286"/>
      <c r="L26" s="286"/>
      <c r="M26" s="286"/>
      <c r="N26" s="339"/>
      <c r="O26" s="339"/>
      <c r="P26" s="339"/>
      <c r="Q26" s="339"/>
      <c r="S26" s="48">
        <f t="shared" si="4"/>
        <v>0</v>
      </c>
      <c r="T26" s="49">
        <f t="shared" si="5"/>
        <v>0</v>
      </c>
      <c r="U26" s="49">
        <f t="shared" si="0"/>
        <v>0</v>
      </c>
      <c r="V26" s="49">
        <f t="shared" si="1"/>
        <v>0</v>
      </c>
      <c r="W26" s="49">
        <f t="shared" si="2"/>
        <v>0</v>
      </c>
    </row>
    <row r="27" spans="2:33" ht="40" customHeight="1" thickBot="1" x14ac:dyDescent="0.3">
      <c r="B27" s="326"/>
      <c r="C27" s="310" t="s">
        <v>385</v>
      </c>
      <c r="D27" s="310"/>
      <c r="E27" s="310"/>
      <c r="F27" s="308"/>
      <c r="G27" s="308"/>
      <c r="H27" s="340" t="s">
        <v>42</v>
      </c>
      <c r="I27" s="340"/>
      <c r="J27" s="275"/>
      <c r="K27" s="275"/>
      <c r="L27" s="275"/>
      <c r="M27" s="275"/>
      <c r="N27" s="309"/>
      <c r="O27" s="309"/>
      <c r="P27" s="309"/>
      <c r="Q27" s="309"/>
      <c r="S27" s="75">
        <f t="shared" si="4"/>
        <v>0</v>
      </c>
      <c r="T27" s="75">
        <f t="shared" si="5"/>
        <v>0</v>
      </c>
      <c r="U27" s="75">
        <f t="shared" si="0"/>
        <v>0</v>
      </c>
      <c r="V27" s="75">
        <f t="shared" si="1"/>
        <v>0</v>
      </c>
      <c r="W27" s="75">
        <f t="shared" si="2"/>
        <v>0</v>
      </c>
      <c r="X27" s="75"/>
    </row>
  </sheetData>
  <sheetProtection formatCells="0"/>
  <protectedRanges>
    <protectedRange sqref="N31:Q32" name="Bereich1"/>
    <protectedRange sqref="N25:Q25 N22:Q22 N19:Q19" name="Bereich1_1"/>
  </protectedRanges>
  <mergeCells count="62">
    <mergeCell ref="B22:B24"/>
    <mergeCell ref="C22:E22"/>
    <mergeCell ref="H22:I22"/>
    <mergeCell ref="C24:E24"/>
    <mergeCell ref="H24:I24"/>
    <mergeCell ref="F22:G24"/>
    <mergeCell ref="H23:I23"/>
    <mergeCell ref="B19:B21"/>
    <mergeCell ref="C19:E19"/>
    <mergeCell ref="H19:I19"/>
    <mergeCell ref="C20:E20"/>
    <mergeCell ref="H20:I20"/>
    <mergeCell ref="C21:E21"/>
    <mergeCell ref="H21:I21"/>
    <mergeCell ref="F19:G21"/>
    <mergeCell ref="B25:B27"/>
    <mergeCell ref="C25:E25"/>
    <mergeCell ref="H25:I25"/>
    <mergeCell ref="C26:E26"/>
    <mergeCell ref="H26:I26"/>
    <mergeCell ref="C27:E27"/>
    <mergeCell ref="H27:I27"/>
    <mergeCell ref="F25:G27"/>
    <mergeCell ref="B17:B18"/>
    <mergeCell ref="C17:E17"/>
    <mergeCell ref="H17:I17"/>
    <mergeCell ref="C18:E18"/>
    <mergeCell ref="H18:I18"/>
    <mergeCell ref="B15:M15"/>
    <mergeCell ref="B4:M4"/>
    <mergeCell ref="C6:G6"/>
    <mergeCell ref="C7:M7"/>
    <mergeCell ref="C8:M8"/>
    <mergeCell ref="C9:M9"/>
    <mergeCell ref="C10:M10"/>
    <mergeCell ref="C14:E14"/>
    <mergeCell ref="F14:G14"/>
    <mergeCell ref="H14:I14"/>
    <mergeCell ref="J14:M14"/>
    <mergeCell ref="J25:M27"/>
    <mergeCell ref="J19:M21"/>
    <mergeCell ref="C16:E16"/>
    <mergeCell ref="H16:I16"/>
    <mergeCell ref="J16:M16"/>
    <mergeCell ref="C23:E23"/>
    <mergeCell ref="J22:M24"/>
    <mergeCell ref="J17:M18"/>
    <mergeCell ref="F16:G16"/>
    <mergeCell ref="F17:G18"/>
    <mergeCell ref="N14:Q14"/>
    <mergeCell ref="N16:Q16"/>
    <mergeCell ref="N17:Q17"/>
    <mergeCell ref="N18:Q18"/>
    <mergeCell ref="N19:Q19"/>
    <mergeCell ref="N25:Q25"/>
    <mergeCell ref="N26:Q26"/>
    <mergeCell ref="N27:Q27"/>
    <mergeCell ref="N20:Q20"/>
    <mergeCell ref="N21:Q21"/>
    <mergeCell ref="N22:Q22"/>
    <mergeCell ref="N23:Q23"/>
    <mergeCell ref="N24:Q24"/>
  </mergeCells>
  <conditionalFormatting sqref="H16:I27">
    <cfRule type="containsText" dxfId="51" priority="1" operator="containsText" text="Bitte auswählen">
      <formula>NOT(ISERROR(SEARCH("Bitte auswählen",H16)))</formula>
    </cfRule>
  </conditionalFormatting>
  <dataValidations xWindow="748" yWindow="414" count="2">
    <dataValidation allowBlank="1" showInputMessage="1" showErrorMessage="1" promptTitle="[+] Klicken" prompt="Hier können Sie sich erweiterte Informationen zu dem Prozess anzeigen lassen." sqref="A11" xr:uid="{00000000-0002-0000-0E00-000000000000}"/>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2C2C7D60-FF98-42CA-B4A4-C8F013C04D41}"/>
  </dataValidations>
  <hyperlinks>
    <hyperlink ref="C24:E24" location="Glossar!A1" display="Wird ein Terminologiemapping zu Zulieferdokumentation durchgeführt?" xr:uid="{485262A5-0E96-4C66-A461-6A077C3B1A73}"/>
  </hyperlinks>
  <pageMargins left="0.23622047244094491" right="0.23622047244094491" top="0.74803149606299213" bottom="0.74803149606299213" header="0.31496062992125984" footer="0.31496062992125984"/>
  <pageSetup paperSize="9" scale="46" orientation="landscape" horizontalDpi="4294967293"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748" yWindow="414" count="1">
        <x14:dataValidation type="list" allowBlank="1" showInputMessage="1" showErrorMessage="1" xr:uid="{00000000-0002-0000-0E00-000001000000}">
          <x14:formula1>
            <xm:f>Data!$I$3:$I$8</xm:f>
          </x14:formula1>
          <xm:sqref>H16:I27</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333399"/>
    <pageSetUpPr fitToPage="1"/>
  </sheetPr>
  <dimension ref="A4:AG26"/>
  <sheetViews>
    <sheetView showGridLines="0" zoomScale="90" zoomScaleNormal="90" zoomScalePageLayoutView="85" workbookViewId="0"/>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40" style="48" hidden="1" customWidth="1" outlineLevel="1"/>
    <col min="7" max="7" width="49.26953125" style="48" hidden="1" customWidth="1" outlineLevel="1"/>
    <col min="8" max="8" width="11.453125" style="48" collapsed="1"/>
    <col min="9" max="10" width="11.453125" style="48"/>
    <col min="11" max="11" width="13.26953125" style="48" customWidth="1"/>
    <col min="12" max="12" width="11.453125" style="48"/>
    <col min="13" max="13" width="31.54296875" style="48" customWidth="1"/>
    <col min="14" max="14" width="11.453125" style="48"/>
    <col min="15" max="15" width="13.26953125" style="48" customWidth="1"/>
    <col min="16" max="16" width="11.453125" style="48"/>
    <col min="17" max="17" width="36.26953125" style="48" customWidth="1"/>
    <col min="18" max="18" width="22.7265625" style="49" customWidth="1"/>
    <col min="19" max="24" width="11.453125" style="48" customWidth="1"/>
    <col min="25" max="25" width="14" style="48" customWidth="1"/>
    <col min="26" max="32" width="11.453125" style="48" customWidth="1"/>
    <col min="33" max="33" width="11.453125" style="48" hidden="1" customWidth="1"/>
    <col min="34" max="16384" width="11.453125" style="48"/>
  </cols>
  <sheetData>
    <row r="4" spans="2:33" ht="14" x14ac:dyDescent="0.3">
      <c r="B4" s="290" t="s">
        <v>39</v>
      </c>
      <c r="C4" s="290"/>
      <c r="D4" s="290"/>
      <c r="E4" s="290"/>
      <c r="F4" s="290"/>
      <c r="G4" s="290"/>
      <c r="H4" s="290"/>
      <c r="I4" s="290"/>
      <c r="J4" s="290"/>
      <c r="K4" s="290"/>
      <c r="L4" s="290"/>
      <c r="M4" s="290"/>
      <c r="N4" s="202"/>
      <c r="O4" s="202"/>
      <c r="P4" s="202"/>
      <c r="Q4" s="202"/>
    </row>
    <row r="5" spans="2:33" ht="9" customHeight="1" x14ac:dyDescent="0.25"/>
    <row r="6" spans="2:33" ht="32.25" customHeight="1" thickBot="1" x14ac:dyDescent="0.3">
      <c r="B6" s="162" t="s">
        <v>105</v>
      </c>
      <c r="C6" s="293" t="s">
        <v>163</v>
      </c>
      <c r="D6" s="293"/>
      <c r="E6" s="293"/>
      <c r="F6" s="293"/>
      <c r="G6" s="293"/>
      <c r="H6" s="53"/>
      <c r="I6" s="53"/>
      <c r="J6" s="53"/>
      <c r="K6" s="53" t="s">
        <v>36</v>
      </c>
      <c r="L6" s="55">
        <f>ROUNDDOWN(Z16/0.25,0)*0.25</f>
        <v>0</v>
      </c>
      <c r="M6" s="54" t="str">
        <f>IF(L6&lt;1,"Unvollständig",IF(L6&lt;2,"Initial",IF(L6&lt;3,"Gemanagt",IF(L6&lt;4,"Definiert",IF(L6&lt;5,"Quantitativ gemanagt",IF(L6&lt;6,"Optimiert","Ausstehend"))))))</f>
        <v>Unvollständig</v>
      </c>
      <c r="N6" s="53"/>
      <c r="O6" s="53"/>
      <c r="P6" s="55"/>
      <c r="Q6" s="54"/>
    </row>
    <row r="7" spans="2:33" ht="35.25" hidden="1" customHeight="1" outlineLevel="1" x14ac:dyDescent="0.25">
      <c r="B7" s="76" t="s">
        <v>211</v>
      </c>
      <c r="C7" s="294" t="s">
        <v>389</v>
      </c>
      <c r="D7" s="295"/>
      <c r="E7" s="295"/>
      <c r="F7" s="295"/>
      <c r="G7" s="295"/>
      <c r="H7" s="295"/>
      <c r="I7" s="295"/>
      <c r="J7" s="295"/>
      <c r="K7" s="295"/>
      <c r="L7" s="295"/>
      <c r="M7" s="296"/>
      <c r="N7" s="204"/>
      <c r="O7" s="204"/>
      <c r="P7" s="204"/>
      <c r="Q7" s="204"/>
    </row>
    <row r="8" spans="2:33" ht="70.5" hidden="1" customHeight="1" outlineLevel="1" x14ac:dyDescent="0.25">
      <c r="B8" s="51" t="s">
        <v>212</v>
      </c>
      <c r="C8" s="297" t="s">
        <v>390</v>
      </c>
      <c r="D8" s="298"/>
      <c r="E8" s="298"/>
      <c r="F8" s="298"/>
      <c r="G8" s="298"/>
      <c r="H8" s="298"/>
      <c r="I8" s="298"/>
      <c r="J8" s="298"/>
      <c r="K8" s="298"/>
      <c r="L8" s="298"/>
      <c r="M8" s="299"/>
      <c r="N8" s="203"/>
      <c r="O8" s="203"/>
      <c r="P8" s="203"/>
      <c r="Q8" s="203"/>
    </row>
    <row r="9" spans="2:33" ht="75" hidden="1" customHeight="1" outlineLevel="1" x14ac:dyDescent="0.25">
      <c r="B9" s="51" t="s">
        <v>30</v>
      </c>
      <c r="C9" s="300" t="s">
        <v>391</v>
      </c>
      <c r="D9" s="301"/>
      <c r="E9" s="301"/>
      <c r="F9" s="301"/>
      <c r="G9" s="301"/>
      <c r="H9" s="301"/>
      <c r="I9" s="301"/>
      <c r="J9" s="301"/>
      <c r="K9" s="301"/>
      <c r="L9" s="301"/>
      <c r="M9" s="302"/>
      <c r="N9" s="204"/>
      <c r="O9" s="204"/>
      <c r="P9" s="204"/>
      <c r="Q9" s="204"/>
    </row>
    <row r="10" spans="2:33" ht="65.25" hidden="1" customHeight="1" outlineLevel="1" x14ac:dyDescent="0.25">
      <c r="B10" s="51" t="s">
        <v>31</v>
      </c>
      <c r="C10" s="300" t="s">
        <v>392</v>
      </c>
      <c r="D10" s="301"/>
      <c r="E10" s="301"/>
      <c r="F10" s="301"/>
      <c r="G10" s="301"/>
      <c r="H10" s="301"/>
      <c r="I10" s="301"/>
      <c r="J10" s="301"/>
      <c r="K10" s="301"/>
      <c r="L10" s="301"/>
      <c r="M10" s="302"/>
      <c r="N10" s="204"/>
      <c r="O10" s="204"/>
      <c r="P10" s="204"/>
      <c r="Q10" s="204"/>
    </row>
    <row r="11" spans="2:33" collapsed="1" x14ac:dyDescent="0.25"/>
    <row r="12" spans="2:33" ht="13" x14ac:dyDescent="0.3">
      <c r="B12" s="50" t="s">
        <v>33</v>
      </c>
      <c r="C12" s="49"/>
    </row>
    <row r="13" spans="2:33" ht="6.75" customHeight="1" x14ac:dyDescent="0.25"/>
    <row r="14" spans="2:33" ht="21.75" customHeight="1" x14ac:dyDescent="0.25">
      <c r="B14" s="52" t="s">
        <v>34</v>
      </c>
      <c r="C14" s="353" t="s">
        <v>37</v>
      </c>
      <c r="D14" s="354"/>
      <c r="E14" s="355"/>
      <c r="F14" s="341" t="s">
        <v>67</v>
      </c>
      <c r="G14" s="356"/>
      <c r="H14" s="341" t="s">
        <v>3</v>
      </c>
      <c r="I14" s="356"/>
      <c r="J14" s="341" t="s">
        <v>886</v>
      </c>
      <c r="K14" s="342"/>
      <c r="L14" s="342"/>
      <c r="M14" s="342"/>
      <c r="N14" s="341" t="s">
        <v>38</v>
      </c>
      <c r="O14" s="342"/>
      <c r="P14" s="342"/>
      <c r="Q14" s="342"/>
      <c r="T14" s="48" t="s">
        <v>35</v>
      </c>
      <c r="Y14" s="48" t="s">
        <v>45</v>
      </c>
      <c r="Z14" s="48" t="s">
        <v>44</v>
      </c>
    </row>
    <row r="15" spans="2:33" ht="1.5" customHeight="1" x14ac:dyDescent="0.3">
      <c r="B15" s="314"/>
      <c r="C15" s="314"/>
      <c r="D15" s="314"/>
      <c r="E15" s="314"/>
      <c r="F15" s="314"/>
      <c r="G15" s="314"/>
      <c r="H15" s="314"/>
      <c r="I15" s="314"/>
      <c r="J15" s="314"/>
      <c r="K15" s="314"/>
      <c r="L15" s="314"/>
      <c r="M15" s="314"/>
      <c r="N15" s="205"/>
      <c r="O15" s="205"/>
      <c r="P15" s="205"/>
      <c r="Q15" s="205"/>
    </row>
    <row r="16" spans="2:33" ht="40" customHeight="1" thickBot="1" x14ac:dyDescent="0.35">
      <c r="B16" s="180">
        <v>1</v>
      </c>
      <c r="C16" s="310" t="s">
        <v>1134</v>
      </c>
      <c r="D16" s="310"/>
      <c r="E16" s="310"/>
      <c r="F16" s="310" t="s">
        <v>394</v>
      </c>
      <c r="G16" s="310"/>
      <c r="H16" s="340" t="s">
        <v>42</v>
      </c>
      <c r="I16" s="340"/>
      <c r="J16" s="340" t="s">
        <v>29</v>
      </c>
      <c r="K16" s="340"/>
      <c r="L16" s="340"/>
      <c r="M16" s="340"/>
      <c r="N16" s="310" t="s">
        <v>393</v>
      </c>
      <c r="O16" s="310"/>
      <c r="P16" s="310"/>
      <c r="Q16" s="310"/>
      <c r="S16" s="74">
        <f>IF(H16="Nicht anwendbar","n.a.",0)</f>
        <v>0</v>
      </c>
      <c r="T16" s="75">
        <f>IF(H16="Vollständig",1,0)</f>
        <v>0</v>
      </c>
      <c r="U16" s="75">
        <f>IF(H16="In den meisten Fällen",0.75,0)</f>
        <v>0</v>
      </c>
      <c r="V16" s="75">
        <f>IF(H16="In ein Paar Fällen",0.5,0)</f>
        <v>0</v>
      </c>
      <c r="W16" s="75">
        <f>IF(H16="Gar nicht",0,0)</f>
        <v>0</v>
      </c>
      <c r="X16" s="75">
        <f>IF(S16&gt;0,"n.a.",SUM(S16:W16))</f>
        <v>0</v>
      </c>
      <c r="Y16" s="48">
        <f>X16</f>
        <v>0</v>
      </c>
      <c r="Z16" s="48">
        <f>IF(Y16&lt;&gt;"n.a.",SUM(Y16,Y17,Y19,Y22,Y24),NA())</f>
        <v>0</v>
      </c>
      <c r="AG16" s="49" t="str">
        <f t="shared" ref="AG16:AG18" si="0">IF(X16&gt;0.5,"Umgesetzt","Nicht umgesetzt")</f>
        <v>Nicht umgesetzt</v>
      </c>
    </row>
    <row r="17" spans="1:33" ht="40" customHeight="1" thickBot="1" x14ac:dyDescent="0.3">
      <c r="B17" s="325">
        <v>2</v>
      </c>
      <c r="C17" s="343" t="s">
        <v>395</v>
      </c>
      <c r="D17" s="343"/>
      <c r="E17" s="343"/>
      <c r="F17" s="361" t="s">
        <v>403</v>
      </c>
      <c r="G17" s="362"/>
      <c r="H17" s="365" t="s">
        <v>42</v>
      </c>
      <c r="I17" s="365"/>
      <c r="J17" s="351" t="s">
        <v>937</v>
      </c>
      <c r="K17" s="352"/>
      <c r="L17" s="352"/>
      <c r="M17" s="352"/>
      <c r="N17" s="343" t="s">
        <v>781</v>
      </c>
      <c r="O17" s="343"/>
      <c r="P17" s="343"/>
      <c r="Q17" s="343"/>
      <c r="S17" s="49">
        <f t="shared" ref="S17:S26" si="1">IF(H17="Nicht anwendbar","n.a.",0)</f>
        <v>0</v>
      </c>
      <c r="T17" s="49">
        <f t="shared" ref="T17:T26" si="2">IF(H17="Vollständig",1,0)</f>
        <v>0</v>
      </c>
      <c r="U17" s="49">
        <f>IF(H17="In den meisten Fällen",0.75,0)</f>
        <v>0</v>
      </c>
      <c r="V17" s="49">
        <f>IF(H17="In ein Paar Fällen",0.5,0)</f>
        <v>0</v>
      </c>
      <c r="W17" s="49">
        <f>IF(H17="Gar nicht",0,0)</f>
        <v>0</v>
      </c>
      <c r="X17" s="143">
        <f>IFERROR(SUM(T17:W18)/COUNTIF(H17:H18,"&lt;&gt;Nicht anwendbar"),"n.a.")</f>
        <v>0</v>
      </c>
      <c r="Y17" s="48">
        <f>IF(X16=1,X17,0)</f>
        <v>0</v>
      </c>
      <c r="AG17" s="49" t="str">
        <f t="shared" si="0"/>
        <v>Nicht umgesetzt</v>
      </c>
    </row>
    <row r="18" spans="1:33" ht="40" customHeight="1" thickBot="1" x14ac:dyDescent="0.3">
      <c r="B18" s="326"/>
      <c r="C18" s="310" t="s">
        <v>1135</v>
      </c>
      <c r="D18" s="310"/>
      <c r="E18" s="310"/>
      <c r="F18" s="308"/>
      <c r="G18" s="308"/>
      <c r="H18" s="340" t="s">
        <v>42</v>
      </c>
      <c r="I18" s="340"/>
      <c r="J18" s="275"/>
      <c r="K18" s="275"/>
      <c r="L18" s="275"/>
      <c r="M18" s="275"/>
      <c r="N18" s="289"/>
      <c r="O18" s="395"/>
      <c r="P18" s="395"/>
      <c r="Q18" s="395"/>
      <c r="S18" s="75">
        <f t="shared" si="1"/>
        <v>0</v>
      </c>
      <c r="T18" s="75">
        <f t="shared" si="2"/>
        <v>0</v>
      </c>
      <c r="U18" s="75">
        <f t="shared" ref="U18:U26" si="3">IF(H18="In den meisten Fällen",0.75,0)</f>
        <v>0</v>
      </c>
      <c r="V18" s="75">
        <f t="shared" ref="V18:V26" si="4">IF(H18="In ein Paar Fällen",0.5,0)</f>
        <v>0</v>
      </c>
      <c r="W18" s="75">
        <f t="shared" ref="W18:W26" si="5">IF(H18="Gar nicht",0,0)</f>
        <v>0</v>
      </c>
      <c r="X18" s="75"/>
      <c r="AG18" s="49" t="str">
        <f t="shared" si="0"/>
        <v>Nicht umgesetzt</v>
      </c>
    </row>
    <row r="19" spans="1:33" ht="40" customHeight="1" thickBot="1" x14ac:dyDescent="0.3">
      <c r="B19" s="325">
        <v>3</v>
      </c>
      <c r="C19" s="344" t="s">
        <v>396</v>
      </c>
      <c r="D19" s="345"/>
      <c r="E19" s="345"/>
      <c r="F19" s="370" t="s">
        <v>404</v>
      </c>
      <c r="G19" s="371"/>
      <c r="H19" s="365" t="s">
        <v>42</v>
      </c>
      <c r="I19" s="365"/>
      <c r="J19" s="357" t="s">
        <v>938</v>
      </c>
      <c r="K19" s="358"/>
      <c r="L19" s="358"/>
      <c r="M19" s="358"/>
      <c r="N19" s="396"/>
      <c r="O19" s="397"/>
      <c r="P19" s="397"/>
      <c r="Q19" s="397"/>
      <c r="S19" s="48">
        <f t="shared" si="1"/>
        <v>0</v>
      </c>
      <c r="T19" s="49">
        <f t="shared" si="2"/>
        <v>0</v>
      </c>
      <c r="U19" s="49">
        <f t="shared" si="3"/>
        <v>0</v>
      </c>
      <c r="V19" s="49">
        <f t="shared" si="4"/>
        <v>0</v>
      </c>
      <c r="W19" s="49">
        <f t="shared" si="5"/>
        <v>0</v>
      </c>
      <c r="X19" s="143">
        <f>IFERROR(SUM(T19:W21)/COUNTIF(H19:H21,"&lt;&gt;Nicht anwendbar"),"n.a.")</f>
        <v>0</v>
      </c>
      <c r="Y19" s="48">
        <f>IF(Y17=1,X19,0)</f>
        <v>0</v>
      </c>
    </row>
    <row r="20" spans="1:33" ht="40" customHeight="1" thickBot="1" x14ac:dyDescent="0.3">
      <c r="B20" s="323"/>
      <c r="C20" s="347" t="s">
        <v>397</v>
      </c>
      <c r="D20" s="348"/>
      <c r="E20" s="348"/>
      <c r="F20" s="337"/>
      <c r="G20" s="337"/>
      <c r="H20" s="366" t="s">
        <v>42</v>
      </c>
      <c r="I20" s="366"/>
      <c r="J20" s="282"/>
      <c r="K20" s="282"/>
      <c r="L20" s="282"/>
      <c r="M20" s="282"/>
      <c r="N20" s="398"/>
      <c r="O20" s="399"/>
      <c r="P20" s="399"/>
      <c r="Q20" s="399"/>
      <c r="S20" s="48">
        <f t="shared" si="1"/>
        <v>0</v>
      </c>
      <c r="T20" s="49">
        <f t="shared" si="2"/>
        <v>0</v>
      </c>
      <c r="U20" s="49">
        <f t="shared" si="3"/>
        <v>0</v>
      </c>
      <c r="V20" s="49">
        <f t="shared" si="4"/>
        <v>0</v>
      </c>
      <c r="W20" s="49">
        <f t="shared" si="5"/>
        <v>0</v>
      </c>
    </row>
    <row r="21" spans="1:33" ht="40" customHeight="1" thickBot="1" x14ac:dyDescent="0.3">
      <c r="A21" s="48" t="s">
        <v>894</v>
      </c>
      <c r="B21" s="323"/>
      <c r="C21" s="394" t="s">
        <v>1013</v>
      </c>
      <c r="D21" s="394"/>
      <c r="E21" s="394"/>
      <c r="F21" s="386"/>
      <c r="G21" s="386"/>
      <c r="H21" s="340" t="s">
        <v>42</v>
      </c>
      <c r="I21" s="340"/>
      <c r="J21" s="270"/>
      <c r="K21" s="270"/>
      <c r="L21" s="270"/>
      <c r="M21" s="270"/>
      <c r="N21" s="400"/>
      <c r="O21" s="395"/>
      <c r="P21" s="395"/>
      <c r="Q21" s="395"/>
      <c r="S21" s="149">
        <f t="shared" si="1"/>
        <v>0</v>
      </c>
      <c r="T21" s="149">
        <f t="shared" si="2"/>
        <v>0</v>
      </c>
      <c r="U21" s="149">
        <f t="shared" si="3"/>
        <v>0</v>
      </c>
      <c r="V21" s="149">
        <f t="shared" si="4"/>
        <v>0</v>
      </c>
      <c r="W21" s="149">
        <f t="shared" si="5"/>
        <v>0</v>
      </c>
      <c r="X21" s="149"/>
    </row>
    <row r="22" spans="1:33" ht="40" customHeight="1" thickBot="1" x14ac:dyDescent="0.3">
      <c r="B22" s="325">
        <v>4</v>
      </c>
      <c r="C22" s="343" t="s">
        <v>398</v>
      </c>
      <c r="D22" s="343"/>
      <c r="E22" s="343"/>
      <c r="F22" s="361" t="s">
        <v>405</v>
      </c>
      <c r="G22" s="362"/>
      <c r="H22" s="365" t="s">
        <v>42</v>
      </c>
      <c r="I22" s="365"/>
      <c r="J22" s="351" t="s">
        <v>939</v>
      </c>
      <c r="K22" s="352"/>
      <c r="L22" s="352"/>
      <c r="M22" s="352"/>
      <c r="N22" s="401"/>
      <c r="O22" s="397"/>
      <c r="P22" s="397"/>
      <c r="Q22" s="397"/>
      <c r="S22" s="49">
        <f t="shared" si="1"/>
        <v>0</v>
      </c>
      <c r="T22" s="49">
        <f t="shared" si="2"/>
        <v>0</v>
      </c>
      <c r="U22" s="49">
        <f t="shared" si="3"/>
        <v>0</v>
      </c>
      <c r="V22" s="49">
        <f t="shared" si="4"/>
        <v>0</v>
      </c>
      <c r="W22" s="49">
        <f t="shared" si="5"/>
        <v>0</v>
      </c>
      <c r="X22" s="143">
        <f>IFERROR(SUM(T22:W23)/COUNTIF(H22:H23,"&lt;&gt;Nicht anwendbar"),"n.a.")</f>
        <v>0</v>
      </c>
      <c r="Y22" s="48">
        <f>IF(Y19=1,X22,0)</f>
        <v>0</v>
      </c>
    </row>
    <row r="23" spans="1:33" ht="40" customHeight="1" thickBot="1" x14ac:dyDescent="0.3">
      <c r="B23" s="326"/>
      <c r="C23" s="349" t="s">
        <v>399</v>
      </c>
      <c r="D23" s="388"/>
      <c r="E23" s="388"/>
      <c r="F23" s="308"/>
      <c r="G23" s="308"/>
      <c r="H23" s="340" t="s">
        <v>42</v>
      </c>
      <c r="I23" s="340"/>
      <c r="J23" s="275"/>
      <c r="K23" s="275"/>
      <c r="L23" s="275"/>
      <c r="M23" s="275"/>
      <c r="N23" s="289"/>
      <c r="O23" s="395"/>
      <c r="P23" s="395"/>
      <c r="Q23" s="395"/>
      <c r="S23" s="149">
        <f t="shared" si="1"/>
        <v>0</v>
      </c>
      <c r="T23" s="149">
        <f t="shared" si="2"/>
        <v>0</v>
      </c>
      <c r="U23" s="149">
        <f t="shared" si="3"/>
        <v>0</v>
      </c>
      <c r="V23" s="149">
        <f t="shared" si="4"/>
        <v>0</v>
      </c>
      <c r="W23" s="149">
        <f t="shared" si="5"/>
        <v>0</v>
      </c>
      <c r="X23" s="149"/>
    </row>
    <row r="24" spans="1:33" ht="40" customHeight="1" thickBot="1" x14ac:dyDescent="0.3">
      <c r="B24" s="323">
        <v>5</v>
      </c>
      <c r="C24" s="343" t="s">
        <v>400</v>
      </c>
      <c r="D24" s="343"/>
      <c r="E24" s="343"/>
      <c r="F24" s="351" t="s">
        <v>406</v>
      </c>
      <c r="G24" s="352"/>
      <c r="H24" s="365" t="s">
        <v>42</v>
      </c>
      <c r="I24" s="365"/>
      <c r="J24" s="351" t="s">
        <v>940</v>
      </c>
      <c r="K24" s="352"/>
      <c r="L24" s="352"/>
      <c r="M24" s="352"/>
      <c r="N24" s="401"/>
      <c r="O24" s="397"/>
      <c r="P24" s="397"/>
      <c r="Q24" s="397"/>
      <c r="S24" s="157">
        <f t="shared" si="1"/>
        <v>0</v>
      </c>
      <c r="T24" s="157">
        <f t="shared" si="2"/>
        <v>0</v>
      </c>
      <c r="U24" s="157">
        <f t="shared" ref="U24:U25" si="6">IF(H24="In den meisten Fällen",0.75,0)</f>
        <v>0</v>
      </c>
      <c r="V24" s="157">
        <f t="shared" ref="V24:V25" si="7">IF(H24="In ein Paar Fällen",0.5,0)</f>
        <v>0</v>
      </c>
      <c r="W24" s="157">
        <f t="shared" ref="W24:W25" si="8">IF(H24="Gar nicht",0,0)</f>
        <v>0</v>
      </c>
      <c r="X24" s="143">
        <f>IFERROR(SUM(T24:W26)/COUNTIF(H24:H26,"&lt;&gt;Nicht anwendbar"),"n.a.")</f>
        <v>0</v>
      </c>
      <c r="Y24" s="48">
        <f>IF(Y22=1,X24,0)</f>
        <v>0</v>
      </c>
    </row>
    <row r="25" spans="1:33" ht="40" customHeight="1" thickBot="1" x14ac:dyDescent="0.3">
      <c r="B25" s="323"/>
      <c r="C25" s="327" t="s">
        <v>401</v>
      </c>
      <c r="D25" s="328"/>
      <c r="E25" s="328"/>
      <c r="F25" s="286"/>
      <c r="G25" s="286"/>
      <c r="H25" s="366" t="s">
        <v>42</v>
      </c>
      <c r="I25" s="366"/>
      <c r="J25" s="286"/>
      <c r="K25" s="286"/>
      <c r="L25" s="286"/>
      <c r="M25" s="286"/>
      <c r="N25" s="398"/>
      <c r="O25" s="399"/>
      <c r="P25" s="399"/>
      <c r="Q25" s="399"/>
      <c r="S25" s="48">
        <f t="shared" si="1"/>
        <v>0</v>
      </c>
      <c r="T25" s="49">
        <f t="shared" si="2"/>
        <v>0</v>
      </c>
      <c r="U25" s="49">
        <f t="shared" si="6"/>
        <v>0</v>
      </c>
      <c r="V25" s="49">
        <f t="shared" si="7"/>
        <v>0</v>
      </c>
      <c r="W25" s="49">
        <f t="shared" si="8"/>
        <v>0</v>
      </c>
    </row>
    <row r="26" spans="1:33" ht="40" customHeight="1" thickBot="1" x14ac:dyDescent="0.3">
      <c r="B26" s="326"/>
      <c r="C26" s="310" t="s">
        <v>402</v>
      </c>
      <c r="D26" s="310"/>
      <c r="E26" s="310"/>
      <c r="F26" s="275"/>
      <c r="G26" s="275"/>
      <c r="H26" s="340" t="s">
        <v>42</v>
      </c>
      <c r="I26" s="340"/>
      <c r="J26" s="275"/>
      <c r="K26" s="275"/>
      <c r="L26" s="275"/>
      <c r="M26" s="275"/>
      <c r="N26" s="289"/>
      <c r="O26" s="395"/>
      <c r="P26" s="395"/>
      <c r="Q26" s="395"/>
      <c r="S26" s="149">
        <f t="shared" si="1"/>
        <v>0</v>
      </c>
      <c r="T26" s="149">
        <f t="shared" si="2"/>
        <v>0</v>
      </c>
      <c r="U26" s="149">
        <f t="shared" si="3"/>
        <v>0</v>
      </c>
      <c r="V26" s="149">
        <f t="shared" si="4"/>
        <v>0</v>
      </c>
      <c r="W26" s="149">
        <f t="shared" si="5"/>
        <v>0</v>
      </c>
      <c r="X26" s="149"/>
    </row>
  </sheetData>
  <sheetProtection formatCells="0"/>
  <mergeCells count="59">
    <mergeCell ref="N25:Q25"/>
    <mergeCell ref="N26:Q26"/>
    <mergeCell ref="J17:M18"/>
    <mergeCell ref="J19:M21"/>
    <mergeCell ref="J22:M23"/>
    <mergeCell ref="J24:M26"/>
    <mergeCell ref="N20:Q20"/>
    <mergeCell ref="N21:Q21"/>
    <mergeCell ref="N22:Q22"/>
    <mergeCell ref="N23:Q23"/>
    <mergeCell ref="N24:Q24"/>
    <mergeCell ref="N14:Q14"/>
    <mergeCell ref="N16:Q16"/>
    <mergeCell ref="N17:Q17"/>
    <mergeCell ref="N18:Q18"/>
    <mergeCell ref="N19:Q19"/>
    <mergeCell ref="F22:G23"/>
    <mergeCell ref="C26:E26"/>
    <mergeCell ref="H26:I26"/>
    <mergeCell ref="B22:B23"/>
    <mergeCell ref="C22:E22"/>
    <mergeCell ref="H22:I22"/>
    <mergeCell ref="C23:E23"/>
    <mergeCell ref="H23:I23"/>
    <mergeCell ref="C25:E25"/>
    <mergeCell ref="H25:I25"/>
    <mergeCell ref="B24:B26"/>
    <mergeCell ref="C24:E24"/>
    <mergeCell ref="F24:G26"/>
    <mergeCell ref="H24:I24"/>
    <mergeCell ref="B19:B21"/>
    <mergeCell ref="C19:E19"/>
    <mergeCell ref="H19:I19"/>
    <mergeCell ref="C20:E20"/>
    <mergeCell ref="H20:I20"/>
    <mergeCell ref="C21:E21"/>
    <mergeCell ref="H21:I21"/>
    <mergeCell ref="F19:G21"/>
    <mergeCell ref="B17:B18"/>
    <mergeCell ref="C17:E17"/>
    <mergeCell ref="H17:I17"/>
    <mergeCell ref="C18:E18"/>
    <mergeCell ref="H18:I18"/>
    <mergeCell ref="F17:G18"/>
    <mergeCell ref="C10:M10"/>
    <mergeCell ref="C14:E14"/>
    <mergeCell ref="F14:G14"/>
    <mergeCell ref="H14:I14"/>
    <mergeCell ref="J14:M14"/>
    <mergeCell ref="B4:M4"/>
    <mergeCell ref="C6:G6"/>
    <mergeCell ref="C7:M7"/>
    <mergeCell ref="C8:M8"/>
    <mergeCell ref="C9:M9"/>
    <mergeCell ref="C16:E16"/>
    <mergeCell ref="F16:G16"/>
    <mergeCell ref="H16:I16"/>
    <mergeCell ref="J16:M16"/>
    <mergeCell ref="B15:M15"/>
  </mergeCells>
  <conditionalFormatting sqref="H16:I21">
    <cfRule type="containsText" dxfId="50" priority="5" operator="containsText" text="Bitte auswählen">
      <formula>NOT(ISERROR(SEARCH("Bitte auswählen",H16)))</formula>
    </cfRule>
  </conditionalFormatting>
  <conditionalFormatting sqref="H22:I23">
    <cfRule type="containsText" dxfId="49" priority="4" operator="containsText" text="Bitte auswählen">
      <formula>NOT(ISERROR(SEARCH("Bitte auswählen",H22)))</formula>
    </cfRule>
  </conditionalFormatting>
  <conditionalFormatting sqref="H26:I26">
    <cfRule type="containsText" dxfId="48" priority="3" operator="containsText" text="Bitte auswählen">
      <formula>NOT(ISERROR(SEARCH("Bitte auswählen",H26)))</formula>
    </cfRule>
  </conditionalFormatting>
  <conditionalFormatting sqref="H24:I24">
    <cfRule type="containsText" dxfId="47" priority="2" operator="containsText" text="Bitte auswählen">
      <formula>NOT(ISERROR(SEARCH("Bitte auswählen",H24)))</formula>
    </cfRule>
  </conditionalFormatting>
  <conditionalFormatting sqref="H25:I25">
    <cfRule type="containsText" dxfId="46" priority="1" operator="containsText" text="Bitte auswählen">
      <formula>NOT(ISERROR(SEARCH("Bitte auswählen",H25)))</formula>
    </cfRule>
  </conditionalFormatting>
  <dataValidations xWindow="790" yWindow="400" count="2">
    <dataValidation allowBlank="1" showInputMessage="1" showErrorMessage="1" promptTitle="[+] Klicken" prompt="Hier können Sie sich erweiterte Informationen zu dem Prozess anzeigen lassen." sqref="A11" xr:uid="{00000000-0002-0000-0F00-000000000000}"/>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CFB3BCF0-BFD0-4FA3-98CD-90DC588ABF4E}"/>
  </dataValidations>
  <hyperlinks>
    <hyperlink ref="C21:E21" location="Glossar!A1" display="Werden Übersetzungen durch Übersetzungsressourcen (z.B. Translation Memory) unterstützt?" xr:uid="{4D6C1941-7632-461F-A3D1-12758B1C2F14}"/>
  </hyperlinks>
  <pageMargins left="0.23622047244094491" right="0.23622047244094491" top="0.74803149606299213" bottom="0.74803149606299213" header="0.31496062992125984" footer="0.31496062992125984"/>
  <pageSetup paperSize="9" scale="46" orientation="landscape" horizontalDpi="4294967293"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790" yWindow="400" count="1">
        <x14:dataValidation type="list" allowBlank="1" showInputMessage="1" showErrorMessage="1" xr:uid="{00000000-0002-0000-0F00-000001000000}">
          <x14:formula1>
            <xm:f>Data!$I$3:$I$8</xm:f>
          </x14:formula1>
          <xm:sqref>I25:I26 I16:I23 H16:H26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333399"/>
    <pageSetUpPr fitToPage="1"/>
  </sheetPr>
  <dimension ref="B4:AG30"/>
  <sheetViews>
    <sheetView showGridLines="0" zoomScale="90" zoomScaleNormal="90" zoomScalePageLayoutView="85" workbookViewId="0"/>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38" style="48" hidden="1" customWidth="1" outlineLevel="1"/>
    <col min="7" max="7" width="46.1796875" style="48" hidden="1" customWidth="1" outlineLevel="1"/>
    <col min="8" max="8" width="11.453125" style="48" collapsed="1"/>
    <col min="9" max="10" width="11.453125" style="48"/>
    <col min="11" max="11" width="13.26953125" style="48" customWidth="1"/>
    <col min="12" max="12" width="11.453125" style="48"/>
    <col min="13" max="13" width="50.26953125" style="48" customWidth="1"/>
    <col min="14" max="14" width="11.453125" style="48"/>
    <col min="15" max="15" width="13.26953125" style="48" customWidth="1"/>
    <col min="16" max="16" width="11.453125" style="48"/>
    <col min="17" max="17" width="24.81640625" style="48" customWidth="1"/>
    <col min="18" max="18" width="13.54296875" style="49" customWidth="1"/>
    <col min="19" max="29" width="13.54296875" style="48" customWidth="1"/>
    <col min="30" max="32" width="11.453125" style="48" customWidth="1"/>
    <col min="33" max="33" width="11.453125" style="48" hidden="1" customWidth="1"/>
    <col min="34" max="16384" width="11.453125" style="48"/>
  </cols>
  <sheetData>
    <row r="4" spans="2:33" ht="14" x14ac:dyDescent="0.3">
      <c r="B4" s="290" t="s">
        <v>39</v>
      </c>
      <c r="C4" s="290"/>
      <c r="D4" s="290"/>
      <c r="E4" s="290"/>
      <c r="F4" s="290"/>
      <c r="G4" s="290"/>
      <c r="H4" s="290"/>
      <c r="I4" s="290"/>
      <c r="J4" s="290"/>
      <c r="K4" s="290"/>
      <c r="L4" s="290"/>
      <c r="M4" s="290"/>
      <c r="N4" s="216"/>
      <c r="O4" s="216"/>
      <c r="P4" s="216"/>
      <c r="Q4" s="216"/>
    </row>
    <row r="5" spans="2:33" ht="9" customHeight="1" x14ac:dyDescent="0.25"/>
    <row r="6" spans="2:33" ht="32.25" customHeight="1" thickBot="1" x14ac:dyDescent="0.3">
      <c r="B6" s="162" t="s">
        <v>107</v>
      </c>
      <c r="C6" s="293" t="s">
        <v>164</v>
      </c>
      <c r="D6" s="293"/>
      <c r="E6" s="293"/>
      <c r="F6" s="293"/>
      <c r="G6" s="293"/>
      <c r="H6" s="53"/>
      <c r="I6" s="53"/>
      <c r="J6" s="53"/>
      <c r="K6" s="53" t="s">
        <v>36</v>
      </c>
      <c r="L6" s="55">
        <f>ROUNDDOWN(Z16/0.25,0)*0.25</f>
        <v>0</v>
      </c>
      <c r="M6" s="54" t="str">
        <f>IF(L6&lt;1,"Unvollständig",IF(L6&lt;2,"Initial",IF(L6&lt;3,"Gemanagt",IF(L6&lt;4,"Definiert",IF(L6&lt;5,"Quantitativ gemanagt",IF(L6&lt;6,"Optimiert","Ausstehend"))))))</f>
        <v>Unvollständig</v>
      </c>
      <c r="N6" s="53"/>
      <c r="O6" s="53"/>
      <c r="P6" s="55"/>
      <c r="Q6" s="54"/>
    </row>
    <row r="7" spans="2:33" ht="35.25" hidden="1" customHeight="1" outlineLevel="1" x14ac:dyDescent="0.25">
      <c r="B7" s="76" t="s">
        <v>211</v>
      </c>
      <c r="C7" s="294" t="s">
        <v>782</v>
      </c>
      <c r="D7" s="295"/>
      <c r="E7" s="295"/>
      <c r="F7" s="295"/>
      <c r="G7" s="295"/>
      <c r="H7" s="295"/>
      <c r="I7" s="295"/>
      <c r="J7" s="295"/>
      <c r="K7" s="295"/>
      <c r="L7" s="295"/>
      <c r="M7" s="296"/>
      <c r="N7" s="218"/>
      <c r="O7" s="218"/>
      <c r="P7" s="218"/>
      <c r="Q7" s="218"/>
    </row>
    <row r="8" spans="2:33" ht="70.5" hidden="1" customHeight="1" outlineLevel="1" x14ac:dyDescent="0.25">
      <c r="B8" s="51" t="s">
        <v>212</v>
      </c>
      <c r="C8" s="297" t="s">
        <v>407</v>
      </c>
      <c r="D8" s="298"/>
      <c r="E8" s="298"/>
      <c r="F8" s="298"/>
      <c r="G8" s="298"/>
      <c r="H8" s="298"/>
      <c r="I8" s="298"/>
      <c r="J8" s="298"/>
      <c r="K8" s="298"/>
      <c r="L8" s="298"/>
      <c r="M8" s="299"/>
      <c r="N8" s="217"/>
      <c r="O8" s="217"/>
      <c r="P8" s="217"/>
      <c r="Q8" s="217"/>
    </row>
    <row r="9" spans="2:33" ht="75" hidden="1" customHeight="1" outlineLevel="1" x14ac:dyDescent="0.25">
      <c r="B9" s="51" t="s">
        <v>30</v>
      </c>
      <c r="C9" s="300" t="s">
        <v>408</v>
      </c>
      <c r="D9" s="301"/>
      <c r="E9" s="301"/>
      <c r="F9" s="301"/>
      <c r="G9" s="301"/>
      <c r="H9" s="301"/>
      <c r="I9" s="301"/>
      <c r="J9" s="301"/>
      <c r="K9" s="301"/>
      <c r="L9" s="301"/>
      <c r="M9" s="302"/>
      <c r="N9" s="218"/>
      <c r="O9" s="218"/>
      <c r="P9" s="218"/>
      <c r="Q9" s="218"/>
    </row>
    <row r="10" spans="2:33" ht="65.25" hidden="1" customHeight="1" outlineLevel="1" x14ac:dyDescent="0.25">
      <c r="B10" s="51" t="s">
        <v>31</v>
      </c>
      <c r="C10" s="300" t="s">
        <v>409</v>
      </c>
      <c r="D10" s="301"/>
      <c r="E10" s="301"/>
      <c r="F10" s="301"/>
      <c r="G10" s="301"/>
      <c r="H10" s="301"/>
      <c r="I10" s="301"/>
      <c r="J10" s="301"/>
      <c r="K10" s="301"/>
      <c r="L10" s="301"/>
      <c r="M10" s="302"/>
      <c r="N10" s="218"/>
      <c r="O10" s="218"/>
      <c r="P10" s="218"/>
      <c r="Q10" s="218"/>
    </row>
    <row r="11" spans="2:33" collapsed="1" x14ac:dyDescent="0.25"/>
    <row r="12" spans="2:33" ht="13" x14ac:dyDescent="0.3">
      <c r="B12" s="50" t="s">
        <v>33</v>
      </c>
      <c r="C12" s="49"/>
    </row>
    <row r="13" spans="2:33" ht="6.75" customHeight="1" x14ac:dyDescent="0.25"/>
    <row r="14" spans="2:33" ht="21.75" customHeight="1" thickBot="1" x14ac:dyDescent="0.3">
      <c r="B14" s="52" t="s">
        <v>34</v>
      </c>
      <c r="C14" s="353" t="s">
        <v>37</v>
      </c>
      <c r="D14" s="354"/>
      <c r="E14" s="355"/>
      <c r="F14" s="341" t="s">
        <v>67</v>
      </c>
      <c r="G14" s="356"/>
      <c r="H14" s="341" t="s">
        <v>3</v>
      </c>
      <c r="I14" s="356"/>
      <c r="J14" s="341" t="s">
        <v>886</v>
      </c>
      <c r="K14" s="342"/>
      <c r="L14" s="342"/>
      <c r="M14" s="342"/>
      <c r="N14" s="341" t="s">
        <v>38</v>
      </c>
      <c r="O14" s="342"/>
      <c r="P14" s="342"/>
      <c r="Q14" s="342"/>
      <c r="T14" s="153" t="s">
        <v>35</v>
      </c>
      <c r="U14" s="153"/>
      <c r="V14" s="153"/>
      <c r="W14" s="153"/>
      <c r="X14" s="153"/>
      <c r="Y14" s="153" t="s">
        <v>45</v>
      </c>
      <c r="Z14" s="153" t="s">
        <v>44</v>
      </c>
    </row>
    <row r="15" spans="2:33" ht="1.5" customHeight="1" x14ac:dyDescent="0.3">
      <c r="B15" s="314"/>
      <c r="C15" s="314"/>
      <c r="D15" s="314"/>
      <c r="E15" s="314"/>
      <c r="F15" s="314"/>
      <c r="G15" s="314"/>
      <c r="H15" s="314"/>
      <c r="I15" s="314"/>
      <c r="J15" s="314"/>
      <c r="K15" s="314"/>
      <c r="L15" s="314"/>
      <c r="M15" s="314"/>
      <c r="N15" s="219"/>
      <c r="O15" s="219"/>
      <c r="P15" s="219"/>
      <c r="Q15" s="219"/>
    </row>
    <row r="16" spans="2:33" ht="40" customHeight="1" thickBot="1" x14ac:dyDescent="0.35">
      <c r="B16" s="191">
        <v>1</v>
      </c>
      <c r="C16" s="310" t="s">
        <v>1136</v>
      </c>
      <c r="D16" s="310"/>
      <c r="E16" s="310"/>
      <c r="F16" s="368" t="s">
        <v>411</v>
      </c>
      <c r="G16" s="368"/>
      <c r="H16" s="340" t="s">
        <v>42</v>
      </c>
      <c r="I16" s="340"/>
      <c r="J16" s="340" t="s">
        <v>29</v>
      </c>
      <c r="K16" s="340"/>
      <c r="L16" s="340"/>
      <c r="M16" s="340"/>
      <c r="N16" s="340"/>
      <c r="O16" s="340"/>
      <c r="P16" s="340"/>
      <c r="Q16" s="340"/>
      <c r="S16" s="74">
        <f>IF(H16="Nicht anwendbar","n.a.",0)</f>
        <v>0</v>
      </c>
      <c r="T16" s="75">
        <f>IF(H16="Vollständig",1,0)</f>
        <v>0</v>
      </c>
      <c r="U16" s="75">
        <f>IF(H16="In den meisten Fällen",0.75,0)</f>
        <v>0</v>
      </c>
      <c r="V16" s="75">
        <f>IF(H16="In ein Paar Fällen",0.5,0)</f>
        <v>0</v>
      </c>
      <c r="W16" s="75">
        <f>IF(H16="Gar nicht",0,0)</f>
        <v>0</v>
      </c>
      <c r="X16" s="75">
        <f>IF(S16&gt;0,"n.a.",SUM(S16:W16))</f>
        <v>0</v>
      </c>
      <c r="Y16" s="48">
        <f>X16</f>
        <v>0</v>
      </c>
      <c r="Z16" s="48">
        <f>IF(Y16&lt;&gt;"n.a.",SUM(Y16,Y17,Y21,Y24,Y28),NA())</f>
        <v>0</v>
      </c>
      <c r="AG16" s="49" t="str">
        <f t="shared" ref="AG16:AG20" si="0">IF(X16&gt;0.5,"Umgesetzt","Nicht umgesetzt")</f>
        <v>Nicht umgesetzt</v>
      </c>
    </row>
    <row r="17" spans="2:33" ht="40" customHeight="1" thickBot="1" x14ac:dyDescent="0.3">
      <c r="B17" s="325">
        <v>2</v>
      </c>
      <c r="C17" s="343" t="s">
        <v>410</v>
      </c>
      <c r="D17" s="343"/>
      <c r="E17" s="343"/>
      <c r="F17" s="361" t="s">
        <v>415</v>
      </c>
      <c r="G17" s="362"/>
      <c r="H17" s="365" t="s">
        <v>42</v>
      </c>
      <c r="I17" s="365"/>
      <c r="J17" s="351" t="s">
        <v>941</v>
      </c>
      <c r="K17" s="352"/>
      <c r="L17" s="352"/>
      <c r="M17" s="352"/>
      <c r="N17" s="339"/>
      <c r="O17" s="339"/>
      <c r="P17" s="339"/>
      <c r="Q17" s="339"/>
      <c r="S17" s="49">
        <f t="shared" ref="S17:S30" si="1">IF(H17="Nicht anwendbar","n.a.",0)</f>
        <v>0</v>
      </c>
      <c r="T17" s="49">
        <f t="shared" ref="T17:T30" si="2">IF(H17="Vollständig",1,0)</f>
        <v>0</v>
      </c>
      <c r="U17" s="49">
        <f>IF(H17="In den meisten Fällen",0.75,0)</f>
        <v>0</v>
      </c>
      <c r="V17" s="49">
        <f>IF(H17="In ein Paar Fällen",0.5,0)</f>
        <v>0</v>
      </c>
      <c r="W17" s="49">
        <f>IF(H17="Gar nicht",0,0)</f>
        <v>0</v>
      </c>
      <c r="X17" s="143">
        <f>IFERROR(SUM(T17:W20)/COUNTIF(H17:H20,"&lt;&gt;Nicht anwendbar"),"n.a.")</f>
        <v>0</v>
      </c>
      <c r="Y17" s="48">
        <f>IF(Y16=1,X17,0)</f>
        <v>0</v>
      </c>
      <c r="AG17" s="49" t="str">
        <f t="shared" si="0"/>
        <v>Nicht umgesetzt</v>
      </c>
    </row>
    <row r="18" spans="2:33" ht="40" customHeight="1" thickBot="1" x14ac:dyDescent="0.3">
      <c r="B18" s="323"/>
      <c r="C18" s="330" t="s">
        <v>412</v>
      </c>
      <c r="D18" s="330"/>
      <c r="E18" s="330"/>
      <c r="F18" s="307"/>
      <c r="G18" s="307"/>
      <c r="H18" s="366" t="s">
        <v>42</v>
      </c>
      <c r="I18" s="366"/>
      <c r="J18" s="286"/>
      <c r="K18" s="286"/>
      <c r="L18" s="286"/>
      <c r="M18" s="286"/>
      <c r="N18" s="339"/>
      <c r="O18" s="339"/>
      <c r="P18" s="339"/>
      <c r="Q18" s="339"/>
      <c r="S18" s="49">
        <f t="shared" si="1"/>
        <v>0</v>
      </c>
      <c r="T18" s="49">
        <f t="shared" si="2"/>
        <v>0</v>
      </c>
      <c r="U18" s="49">
        <f t="shared" ref="U18:U25" si="3">IF(H18="In den meisten Fällen",0.75,0)</f>
        <v>0</v>
      </c>
      <c r="V18" s="49">
        <f t="shared" ref="V18:V25" si="4">IF(H18="In ein Paar Fällen",0.5,0)</f>
        <v>0</v>
      </c>
      <c r="W18" s="49">
        <f t="shared" ref="W18:W25" si="5">IF(H18="Gar nicht",0,0)</f>
        <v>0</v>
      </c>
      <c r="X18" s="49"/>
      <c r="AG18" s="49" t="str">
        <f t="shared" si="0"/>
        <v>Nicht umgesetzt</v>
      </c>
    </row>
    <row r="19" spans="2:33" ht="40" customHeight="1" thickBot="1" x14ac:dyDescent="0.3">
      <c r="B19" s="323"/>
      <c r="C19" s="330" t="s">
        <v>414</v>
      </c>
      <c r="D19" s="330"/>
      <c r="E19" s="330"/>
      <c r="F19" s="307"/>
      <c r="G19" s="307"/>
      <c r="H19" s="366" t="s">
        <v>42</v>
      </c>
      <c r="I19" s="366"/>
      <c r="J19" s="286"/>
      <c r="K19" s="286"/>
      <c r="L19" s="286"/>
      <c r="M19" s="286"/>
      <c r="N19" s="339"/>
      <c r="O19" s="339"/>
      <c r="P19" s="339"/>
      <c r="Q19" s="339"/>
      <c r="S19" s="49">
        <f t="shared" si="1"/>
        <v>0</v>
      </c>
      <c r="T19" s="49">
        <f t="shared" si="2"/>
        <v>0</v>
      </c>
      <c r="U19" s="49">
        <f t="shared" si="3"/>
        <v>0</v>
      </c>
      <c r="V19" s="49">
        <f t="shared" si="4"/>
        <v>0</v>
      </c>
      <c r="W19" s="49">
        <f t="shared" si="5"/>
        <v>0</v>
      </c>
      <c r="X19" s="49"/>
      <c r="AG19" s="49" t="str">
        <f t="shared" si="0"/>
        <v>Nicht umgesetzt</v>
      </c>
    </row>
    <row r="20" spans="2:33" ht="40" customHeight="1" thickBot="1" x14ac:dyDescent="0.3">
      <c r="B20" s="326"/>
      <c r="C20" s="308" t="s">
        <v>413</v>
      </c>
      <c r="D20" s="308"/>
      <c r="E20" s="308"/>
      <c r="F20" s="308"/>
      <c r="G20" s="308"/>
      <c r="H20" s="340" t="s">
        <v>42</v>
      </c>
      <c r="I20" s="340"/>
      <c r="J20" s="275"/>
      <c r="K20" s="275"/>
      <c r="L20" s="275"/>
      <c r="M20" s="275"/>
      <c r="N20" s="339"/>
      <c r="O20" s="339"/>
      <c r="P20" s="339"/>
      <c r="Q20" s="339"/>
      <c r="S20" s="75">
        <f t="shared" si="1"/>
        <v>0</v>
      </c>
      <c r="T20" s="75">
        <f t="shared" si="2"/>
        <v>0</v>
      </c>
      <c r="U20" s="75">
        <f t="shared" si="3"/>
        <v>0</v>
      </c>
      <c r="V20" s="75">
        <f t="shared" si="4"/>
        <v>0</v>
      </c>
      <c r="W20" s="75">
        <f t="shared" si="5"/>
        <v>0</v>
      </c>
      <c r="X20" s="75"/>
      <c r="AG20" s="49" t="str">
        <f t="shared" si="0"/>
        <v>Nicht umgesetzt</v>
      </c>
    </row>
    <row r="21" spans="2:33" ht="40" customHeight="1" thickBot="1" x14ac:dyDescent="0.3">
      <c r="B21" s="325">
        <v>3</v>
      </c>
      <c r="C21" s="344" t="s">
        <v>416</v>
      </c>
      <c r="D21" s="345"/>
      <c r="E21" s="345"/>
      <c r="F21" s="370" t="s">
        <v>419</v>
      </c>
      <c r="G21" s="371"/>
      <c r="H21" s="365" t="s">
        <v>42</v>
      </c>
      <c r="I21" s="365"/>
      <c r="J21" s="357" t="s">
        <v>942</v>
      </c>
      <c r="K21" s="358"/>
      <c r="L21" s="358"/>
      <c r="M21" s="358"/>
      <c r="N21" s="272"/>
      <c r="O21" s="272"/>
      <c r="P21" s="272"/>
      <c r="Q21" s="272"/>
      <c r="S21" s="48">
        <f t="shared" si="1"/>
        <v>0</v>
      </c>
      <c r="T21" s="49">
        <f t="shared" si="2"/>
        <v>0</v>
      </c>
      <c r="U21" s="49">
        <f t="shared" si="3"/>
        <v>0</v>
      </c>
      <c r="V21" s="49">
        <f t="shared" si="4"/>
        <v>0</v>
      </c>
      <c r="W21" s="49">
        <f t="shared" si="5"/>
        <v>0</v>
      </c>
      <c r="X21" s="143">
        <f>IFERROR(SUM(T21:W23)/COUNTIF(H21:H23,"&lt;&gt;Nicht anwendbar"),"n.a.")</f>
        <v>0</v>
      </c>
      <c r="Y21" s="48">
        <f>IF(Y17=1,X21,0)</f>
        <v>0</v>
      </c>
    </row>
    <row r="22" spans="2:33" ht="40" customHeight="1" thickBot="1" x14ac:dyDescent="0.3">
      <c r="B22" s="323"/>
      <c r="C22" s="347" t="s">
        <v>418</v>
      </c>
      <c r="D22" s="348"/>
      <c r="E22" s="348"/>
      <c r="F22" s="337"/>
      <c r="G22" s="337"/>
      <c r="H22" s="366" t="s">
        <v>42</v>
      </c>
      <c r="I22" s="366"/>
      <c r="J22" s="282"/>
      <c r="K22" s="282"/>
      <c r="L22" s="282"/>
      <c r="M22" s="282"/>
      <c r="N22" s="339"/>
      <c r="O22" s="339"/>
      <c r="P22" s="339"/>
      <c r="Q22" s="339"/>
      <c r="S22" s="48">
        <f t="shared" si="1"/>
        <v>0</v>
      </c>
      <c r="T22" s="49">
        <f t="shared" si="2"/>
        <v>0</v>
      </c>
      <c r="U22" s="49">
        <f t="shared" si="3"/>
        <v>0</v>
      </c>
      <c r="V22" s="49">
        <f t="shared" si="4"/>
        <v>0</v>
      </c>
      <c r="W22" s="49">
        <f t="shared" si="5"/>
        <v>0</v>
      </c>
    </row>
    <row r="23" spans="2:33" ht="40" customHeight="1" thickBot="1" x14ac:dyDescent="0.3">
      <c r="B23" s="323"/>
      <c r="C23" s="402" t="s">
        <v>417</v>
      </c>
      <c r="D23" s="403"/>
      <c r="E23" s="403"/>
      <c r="F23" s="386"/>
      <c r="G23" s="386"/>
      <c r="H23" s="340" t="s">
        <v>42</v>
      </c>
      <c r="I23" s="340"/>
      <c r="J23" s="270"/>
      <c r="K23" s="270"/>
      <c r="L23" s="270"/>
      <c r="M23" s="270"/>
      <c r="N23" s="339"/>
      <c r="O23" s="339"/>
      <c r="P23" s="339"/>
      <c r="Q23" s="339"/>
      <c r="S23" s="149">
        <f t="shared" si="1"/>
        <v>0</v>
      </c>
      <c r="T23" s="149">
        <f t="shared" si="2"/>
        <v>0</v>
      </c>
      <c r="U23" s="149">
        <f t="shared" si="3"/>
        <v>0</v>
      </c>
      <c r="V23" s="149">
        <f t="shared" si="4"/>
        <v>0</v>
      </c>
      <c r="W23" s="149">
        <f t="shared" si="5"/>
        <v>0</v>
      </c>
      <c r="X23" s="149"/>
    </row>
    <row r="24" spans="2:33" ht="45" customHeight="1" thickBot="1" x14ac:dyDescent="0.3">
      <c r="B24" s="325">
        <v>4</v>
      </c>
      <c r="C24" s="343" t="s">
        <v>1171</v>
      </c>
      <c r="D24" s="343"/>
      <c r="E24" s="343"/>
      <c r="F24" s="361" t="s">
        <v>423</v>
      </c>
      <c r="G24" s="362"/>
      <c r="H24" s="365" t="s">
        <v>42</v>
      </c>
      <c r="I24" s="365"/>
      <c r="J24" s="351" t="s">
        <v>943</v>
      </c>
      <c r="K24" s="352"/>
      <c r="L24" s="352"/>
      <c r="M24" s="352"/>
      <c r="N24" s="272"/>
      <c r="O24" s="272"/>
      <c r="P24" s="272"/>
      <c r="Q24" s="272"/>
      <c r="S24" s="49">
        <f t="shared" si="1"/>
        <v>0</v>
      </c>
      <c r="T24" s="49">
        <f t="shared" si="2"/>
        <v>0</v>
      </c>
      <c r="U24" s="49">
        <f t="shared" si="3"/>
        <v>0</v>
      </c>
      <c r="V24" s="49">
        <f t="shared" si="4"/>
        <v>0</v>
      </c>
      <c r="W24" s="49">
        <f t="shared" si="5"/>
        <v>0</v>
      </c>
      <c r="X24" s="143">
        <f>IFERROR(SUM(T24:W27)/COUNTIF(H24:H27,"&lt;&gt;Nicht anwendbar"),"n.a.")</f>
        <v>0</v>
      </c>
      <c r="Y24" s="48">
        <f>IF(Y21=1,X24,0)</f>
        <v>0</v>
      </c>
    </row>
    <row r="25" spans="2:33" ht="40" customHeight="1" thickBot="1" x14ac:dyDescent="0.3">
      <c r="B25" s="323"/>
      <c r="C25" s="330" t="s">
        <v>420</v>
      </c>
      <c r="D25" s="330"/>
      <c r="E25" s="330"/>
      <c r="F25" s="307"/>
      <c r="G25" s="307"/>
      <c r="H25" s="359" t="s">
        <v>42</v>
      </c>
      <c r="I25" s="359"/>
      <c r="J25" s="286"/>
      <c r="K25" s="286"/>
      <c r="L25" s="286"/>
      <c r="M25" s="286"/>
      <c r="N25" s="339"/>
      <c r="O25" s="339"/>
      <c r="P25" s="339"/>
      <c r="Q25" s="339"/>
      <c r="S25" s="49">
        <f t="shared" si="1"/>
        <v>0</v>
      </c>
      <c r="T25" s="49">
        <f t="shared" si="2"/>
        <v>0</v>
      </c>
      <c r="U25" s="49">
        <f t="shared" si="3"/>
        <v>0</v>
      </c>
      <c r="V25" s="49">
        <f t="shared" si="4"/>
        <v>0</v>
      </c>
      <c r="W25" s="49">
        <f t="shared" si="5"/>
        <v>0</v>
      </c>
      <c r="X25" s="49"/>
    </row>
    <row r="26" spans="2:33" ht="40" customHeight="1" thickBot="1" x14ac:dyDescent="0.3">
      <c r="B26" s="323"/>
      <c r="C26" s="330" t="s">
        <v>422</v>
      </c>
      <c r="D26" s="330"/>
      <c r="E26" s="330"/>
      <c r="F26" s="307"/>
      <c r="G26" s="307"/>
      <c r="H26" s="304" t="s">
        <v>42</v>
      </c>
      <c r="I26" s="304"/>
      <c r="J26" s="286"/>
      <c r="K26" s="286"/>
      <c r="L26" s="286"/>
      <c r="M26" s="286"/>
      <c r="N26" s="339"/>
      <c r="O26" s="339"/>
      <c r="P26" s="339"/>
      <c r="Q26" s="339"/>
      <c r="S26" s="49">
        <f t="shared" si="1"/>
        <v>0</v>
      </c>
      <c r="T26" s="49">
        <f t="shared" si="2"/>
        <v>0</v>
      </c>
      <c r="U26" s="49">
        <f t="shared" ref="U26" si="6">IF(H26="In den meisten Fällen",0.75,0)</f>
        <v>0</v>
      </c>
      <c r="V26" s="49">
        <f t="shared" ref="V26" si="7">IF(H26="In ein Paar Fällen",0.5,0)</f>
        <v>0</v>
      </c>
      <c r="W26" s="49">
        <f t="shared" ref="W26" si="8">IF(H26="Gar nicht",0,0)</f>
        <v>0</v>
      </c>
      <c r="X26" s="49"/>
    </row>
    <row r="27" spans="2:33" ht="40" customHeight="1" thickBot="1" x14ac:dyDescent="0.3">
      <c r="B27" s="326"/>
      <c r="C27" s="360" t="s">
        <v>421</v>
      </c>
      <c r="D27" s="360"/>
      <c r="E27" s="360"/>
      <c r="F27" s="308"/>
      <c r="G27" s="308"/>
      <c r="H27" s="309" t="s">
        <v>42</v>
      </c>
      <c r="I27" s="309"/>
      <c r="J27" s="275"/>
      <c r="K27" s="275"/>
      <c r="L27" s="275"/>
      <c r="M27" s="275"/>
      <c r="N27" s="309"/>
      <c r="O27" s="309"/>
      <c r="P27" s="309"/>
      <c r="Q27" s="309"/>
      <c r="S27" s="164">
        <f t="shared" si="1"/>
        <v>0</v>
      </c>
      <c r="T27" s="164">
        <f t="shared" si="2"/>
        <v>0</v>
      </c>
      <c r="U27" s="164">
        <f t="shared" ref="U27" si="9">IF(H27="In den meisten Fällen",0.75,0)</f>
        <v>0</v>
      </c>
      <c r="V27" s="164">
        <f t="shared" ref="V27" si="10">IF(H27="In ein Paar Fällen",0.5,0)</f>
        <v>0</v>
      </c>
      <c r="W27" s="164">
        <f t="shared" ref="W27" si="11">IF(H27="Gar nicht",0,0)</f>
        <v>0</v>
      </c>
      <c r="X27" s="164"/>
    </row>
    <row r="28" spans="2:33" ht="40" customHeight="1" thickBot="1" x14ac:dyDescent="0.3">
      <c r="B28" s="323">
        <v>5</v>
      </c>
      <c r="C28" s="279" t="s">
        <v>424</v>
      </c>
      <c r="D28" s="279"/>
      <c r="E28" s="279"/>
      <c r="F28" s="361" t="s">
        <v>426</v>
      </c>
      <c r="G28" s="362"/>
      <c r="H28" s="365" t="s">
        <v>42</v>
      </c>
      <c r="I28" s="365"/>
      <c r="J28" s="351" t="s">
        <v>944</v>
      </c>
      <c r="K28" s="352"/>
      <c r="L28" s="352"/>
      <c r="M28" s="352"/>
      <c r="N28" s="272"/>
      <c r="O28" s="272"/>
      <c r="P28" s="272"/>
      <c r="Q28" s="272"/>
      <c r="S28" s="48">
        <f t="shared" si="1"/>
        <v>0</v>
      </c>
      <c r="T28" s="49">
        <f t="shared" si="2"/>
        <v>0</v>
      </c>
      <c r="U28" s="49">
        <f>IF(H28="In den meisten Fällen",0.75,0)</f>
        <v>0</v>
      </c>
      <c r="V28" s="49">
        <f>IF(H28="In ein Paar Fällen",0.5,0)</f>
        <v>0</v>
      </c>
      <c r="W28" s="49">
        <f>IF(H28="Gar nicht",0,0)</f>
        <v>0</v>
      </c>
      <c r="X28" s="143">
        <f>IFERROR(SUM(T28:W30)/COUNTIF(H28:H30,"&lt;&gt;Nicht anwendbar"),"n.a.")</f>
        <v>0</v>
      </c>
      <c r="Y28" s="48">
        <f>IF(Y24=1,X28,0)</f>
        <v>0</v>
      </c>
    </row>
    <row r="29" spans="2:33" ht="40" customHeight="1" thickBot="1" x14ac:dyDescent="0.3">
      <c r="B29" s="323"/>
      <c r="C29" s="330" t="s">
        <v>425</v>
      </c>
      <c r="D29" s="330"/>
      <c r="E29" s="330"/>
      <c r="F29" s="350"/>
      <c r="G29" s="307"/>
      <c r="H29" s="366" t="s">
        <v>42</v>
      </c>
      <c r="I29" s="366"/>
      <c r="J29" s="286"/>
      <c r="K29" s="286"/>
      <c r="L29" s="286"/>
      <c r="M29" s="286"/>
      <c r="N29" s="339"/>
      <c r="O29" s="339"/>
      <c r="P29" s="339"/>
      <c r="Q29" s="339"/>
      <c r="S29" s="48">
        <f t="shared" si="1"/>
        <v>0</v>
      </c>
      <c r="T29" s="49">
        <f t="shared" si="2"/>
        <v>0</v>
      </c>
      <c r="U29" s="49">
        <f>IF(H29="In den meisten Fällen",0.75,0)</f>
        <v>0</v>
      </c>
      <c r="V29" s="49">
        <f>IF(H29="In ein Paar Fällen",0.5,0)</f>
        <v>0</v>
      </c>
      <c r="W29" s="49">
        <f>IF(H29="Gar nicht",0,0)</f>
        <v>0</v>
      </c>
      <c r="X29" s="49"/>
    </row>
    <row r="30" spans="2:33" ht="40" customHeight="1" thickBot="1" x14ac:dyDescent="0.3">
      <c r="B30" s="326"/>
      <c r="C30" s="310" t="s">
        <v>427</v>
      </c>
      <c r="D30" s="310"/>
      <c r="E30" s="310"/>
      <c r="F30" s="308"/>
      <c r="G30" s="308"/>
      <c r="H30" s="340" t="s">
        <v>42</v>
      </c>
      <c r="I30" s="340"/>
      <c r="J30" s="275"/>
      <c r="K30" s="275"/>
      <c r="L30" s="275"/>
      <c r="M30" s="275"/>
      <c r="N30" s="309"/>
      <c r="O30" s="309"/>
      <c r="P30" s="309"/>
      <c r="Q30" s="309"/>
      <c r="S30" s="48">
        <f t="shared" si="1"/>
        <v>0</v>
      </c>
      <c r="T30" s="49">
        <f t="shared" si="2"/>
        <v>0</v>
      </c>
      <c r="U30" s="49">
        <f>IF(H30="In den meisten Fällen",0.75,0)</f>
        <v>0</v>
      </c>
      <c r="V30" s="49">
        <f>IF(H30="In ein Paar Fällen",0.5,0)</f>
        <v>0</v>
      </c>
      <c r="W30" s="49">
        <f>IF(H30="Gar nicht",0,0)</f>
        <v>0</v>
      </c>
    </row>
  </sheetData>
  <sheetProtection formatCells="0"/>
  <protectedRanges>
    <protectedRange sqref="N31:Q32" name="Bereich1"/>
    <protectedRange sqref="N21:Q21 N24:Q24 N28:Q28" name="Bereich1_1"/>
  </protectedRanges>
  <mergeCells count="71">
    <mergeCell ref="J21:M23"/>
    <mergeCell ref="J24:M27"/>
    <mergeCell ref="J28:M30"/>
    <mergeCell ref="B28:B30"/>
    <mergeCell ref="B24:B27"/>
    <mergeCell ref="C27:E27"/>
    <mergeCell ref="C24:E24"/>
    <mergeCell ref="H27:I27"/>
    <mergeCell ref="C28:E28"/>
    <mergeCell ref="H28:I28"/>
    <mergeCell ref="C30:E30"/>
    <mergeCell ref="H30:I30"/>
    <mergeCell ref="F24:G27"/>
    <mergeCell ref="C26:E26"/>
    <mergeCell ref="H26:I26"/>
    <mergeCell ref="H24:I24"/>
    <mergeCell ref="B21:B23"/>
    <mergeCell ref="C21:E21"/>
    <mergeCell ref="H21:I21"/>
    <mergeCell ref="C22:E22"/>
    <mergeCell ref="H22:I22"/>
    <mergeCell ref="C23:E23"/>
    <mergeCell ref="H23:I23"/>
    <mergeCell ref="F21:G23"/>
    <mergeCell ref="C25:E25"/>
    <mergeCell ref="H25:I25"/>
    <mergeCell ref="F28:G30"/>
    <mergeCell ref="C29:E29"/>
    <mergeCell ref="H29:I29"/>
    <mergeCell ref="B15:M15"/>
    <mergeCell ref="F16:G16"/>
    <mergeCell ref="F17:G20"/>
    <mergeCell ref="C16:E16"/>
    <mergeCell ref="H16:I16"/>
    <mergeCell ref="J16:M16"/>
    <mergeCell ref="B17:B20"/>
    <mergeCell ref="C17:E17"/>
    <mergeCell ref="H17:I17"/>
    <mergeCell ref="C18:E18"/>
    <mergeCell ref="H18:I18"/>
    <mergeCell ref="C19:E19"/>
    <mergeCell ref="H19:I19"/>
    <mergeCell ref="C20:E20"/>
    <mergeCell ref="H20:I20"/>
    <mergeCell ref="J17:M20"/>
    <mergeCell ref="B4:M4"/>
    <mergeCell ref="C6:G6"/>
    <mergeCell ref="C7:M7"/>
    <mergeCell ref="C8:M8"/>
    <mergeCell ref="C9:M9"/>
    <mergeCell ref="C10:M10"/>
    <mergeCell ref="C14:E14"/>
    <mergeCell ref="F14:G14"/>
    <mergeCell ref="H14:I14"/>
    <mergeCell ref="J14:M14"/>
    <mergeCell ref="N14:Q14"/>
    <mergeCell ref="N16:Q16"/>
    <mergeCell ref="N17:Q17"/>
    <mergeCell ref="N18:Q18"/>
    <mergeCell ref="N19:Q19"/>
    <mergeCell ref="N20:Q20"/>
    <mergeCell ref="N21:Q21"/>
    <mergeCell ref="N22:Q22"/>
    <mergeCell ref="N23:Q23"/>
    <mergeCell ref="N24:Q24"/>
    <mergeCell ref="N25:Q25"/>
    <mergeCell ref="N26:Q26"/>
    <mergeCell ref="N27:Q27"/>
    <mergeCell ref="N28:Q28"/>
    <mergeCell ref="N30:Q30"/>
    <mergeCell ref="N29:Q29"/>
  </mergeCells>
  <conditionalFormatting sqref="H16:I30">
    <cfRule type="containsText" dxfId="45" priority="1" operator="containsText" text="Bitte auswählen">
      <formula>NOT(ISERROR(SEARCH("Bitte auswählen",H16)))</formula>
    </cfRule>
  </conditionalFormatting>
  <dataValidations xWindow="769" yWindow="381" count="2">
    <dataValidation allowBlank="1" showInputMessage="1" showErrorMessage="1" promptTitle="[+] Klicken" prompt="Hier können Sie sich erweiterte Informationen zu dem Prozess anzeigen lassen." sqref="A11" xr:uid="{00000000-0002-0000-1000-000000000000}"/>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8FBB8BD9-4C5B-495B-8456-C781FB171A42}"/>
  </dataValidations>
  <pageMargins left="0.23622047244094491" right="0.23622047244094491" top="0.74803149606299213" bottom="0.74803149606299213" header="0.31496062992125984" footer="0.31496062992125984"/>
  <pageSetup paperSize="9" scale="46" orientation="landscape" horizontalDpi="4294967293"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769" yWindow="381" count="1">
        <x14:dataValidation type="list" allowBlank="1" showInputMessage="1" showErrorMessage="1" xr:uid="{00000000-0002-0000-1000-000001000000}">
          <x14:formula1>
            <xm:f>Data!$I$3:$I$8</xm:f>
          </x14:formula1>
          <xm:sqref>H16:I30</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333399"/>
    <pageSetUpPr fitToPage="1"/>
  </sheetPr>
  <dimension ref="B4:AG29"/>
  <sheetViews>
    <sheetView showGridLines="0" zoomScale="90" zoomScaleNormal="90" zoomScalePageLayoutView="85" workbookViewId="0"/>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58.54296875" style="48" hidden="1" customWidth="1" outlineLevel="1"/>
    <col min="7" max="7" width="30.81640625" style="48" hidden="1" customWidth="1" outlineLevel="1"/>
    <col min="8" max="8" width="11.453125" style="48" collapsed="1"/>
    <col min="9" max="10" width="11.453125" style="48"/>
    <col min="11" max="11" width="13.26953125" style="48" customWidth="1"/>
    <col min="12" max="12" width="11.453125" style="48"/>
    <col min="13" max="13" width="24.54296875" style="48" customWidth="1"/>
    <col min="14" max="14" width="11.453125" style="48"/>
    <col min="15" max="15" width="13.26953125" style="48" customWidth="1"/>
    <col min="16" max="16" width="11.453125" style="48"/>
    <col min="17" max="17" width="24.81640625" style="48" customWidth="1"/>
    <col min="18" max="18" width="11.453125" style="49"/>
    <col min="19" max="24" width="11.453125" style="48" customWidth="1"/>
    <col min="25" max="25" width="14" style="48" customWidth="1"/>
    <col min="26" max="32" width="11.453125" style="48" customWidth="1"/>
    <col min="33" max="33" width="11.453125" style="48" hidden="1" customWidth="1"/>
    <col min="34" max="16384" width="11.453125" style="48"/>
  </cols>
  <sheetData>
    <row r="4" spans="2:33" ht="14" x14ac:dyDescent="0.3">
      <c r="B4" s="290" t="s">
        <v>39</v>
      </c>
      <c r="C4" s="290"/>
      <c r="D4" s="290"/>
      <c r="E4" s="290"/>
      <c r="F4" s="290"/>
      <c r="G4" s="290"/>
      <c r="H4" s="290"/>
      <c r="I4" s="290"/>
      <c r="J4" s="290"/>
      <c r="K4" s="290"/>
      <c r="L4" s="290"/>
      <c r="M4" s="290"/>
      <c r="N4" s="216"/>
      <c r="O4" s="216"/>
      <c r="P4" s="216"/>
      <c r="Q4" s="216"/>
    </row>
    <row r="5" spans="2:33" ht="9" customHeight="1" x14ac:dyDescent="0.25"/>
    <row r="6" spans="2:33" ht="32.25" customHeight="1" thickBot="1" x14ac:dyDescent="0.3">
      <c r="B6" s="162" t="s">
        <v>109</v>
      </c>
      <c r="C6" s="293" t="s">
        <v>165</v>
      </c>
      <c r="D6" s="293"/>
      <c r="E6" s="293"/>
      <c r="F6" s="293"/>
      <c r="G6" s="293"/>
      <c r="H6" s="53"/>
      <c r="I6" s="53"/>
      <c r="J6" s="53"/>
      <c r="K6" s="53" t="s">
        <v>36</v>
      </c>
      <c r="L6" s="55">
        <f>ROUNDDOWN(Z16/0.25,0)*0.25</f>
        <v>0</v>
      </c>
      <c r="M6" s="54" t="str">
        <f>IF(L6&lt;1,"Unvollständig",IF(L6&lt;2,"Initial",IF(L6&lt;3,"Gemanagt",IF(L6&lt;4,"Definiert",IF(L6&lt;5,"Quantitativ gemanagt",IF(L6&lt;6,"Optimiert","Ausstehend"))))))</f>
        <v>Unvollständig</v>
      </c>
      <c r="N6" s="53"/>
      <c r="O6" s="53"/>
      <c r="P6" s="55"/>
      <c r="Q6" s="54"/>
    </row>
    <row r="7" spans="2:33" ht="35.25" hidden="1" customHeight="1" outlineLevel="1" x14ac:dyDescent="0.25">
      <c r="B7" s="76" t="s">
        <v>211</v>
      </c>
      <c r="C7" s="294" t="s">
        <v>428</v>
      </c>
      <c r="D7" s="295"/>
      <c r="E7" s="295"/>
      <c r="F7" s="295"/>
      <c r="G7" s="295"/>
      <c r="H7" s="295"/>
      <c r="I7" s="295"/>
      <c r="J7" s="295"/>
      <c r="K7" s="295"/>
      <c r="L7" s="295"/>
      <c r="M7" s="296"/>
      <c r="N7" s="218"/>
      <c r="O7" s="218"/>
      <c r="P7" s="218"/>
      <c r="Q7" s="218"/>
    </row>
    <row r="8" spans="2:33" ht="70.5" hidden="1" customHeight="1" outlineLevel="1" x14ac:dyDescent="0.25">
      <c r="B8" s="51" t="s">
        <v>212</v>
      </c>
      <c r="C8" s="297" t="s">
        <v>429</v>
      </c>
      <c r="D8" s="298"/>
      <c r="E8" s="298"/>
      <c r="F8" s="298"/>
      <c r="G8" s="298"/>
      <c r="H8" s="298"/>
      <c r="I8" s="298"/>
      <c r="J8" s="298"/>
      <c r="K8" s="298"/>
      <c r="L8" s="298"/>
      <c r="M8" s="299"/>
      <c r="N8" s="217"/>
      <c r="O8" s="217"/>
      <c r="P8" s="217"/>
      <c r="Q8" s="217"/>
    </row>
    <row r="9" spans="2:33" ht="94.5" hidden="1" customHeight="1" outlineLevel="1" x14ac:dyDescent="0.25">
      <c r="B9" s="51" t="s">
        <v>30</v>
      </c>
      <c r="C9" s="300" t="s">
        <v>430</v>
      </c>
      <c r="D9" s="301"/>
      <c r="E9" s="301"/>
      <c r="F9" s="301"/>
      <c r="G9" s="301"/>
      <c r="H9" s="301"/>
      <c r="I9" s="301"/>
      <c r="J9" s="301"/>
      <c r="K9" s="301"/>
      <c r="L9" s="301"/>
      <c r="M9" s="302"/>
      <c r="N9" s="218"/>
      <c r="O9" s="218"/>
      <c r="P9" s="218"/>
      <c r="Q9" s="218"/>
    </row>
    <row r="10" spans="2:33" ht="65.25" hidden="1" customHeight="1" outlineLevel="1" x14ac:dyDescent="0.25">
      <c r="B10" s="51" t="s">
        <v>31</v>
      </c>
      <c r="C10" s="300" t="s">
        <v>431</v>
      </c>
      <c r="D10" s="301"/>
      <c r="E10" s="301"/>
      <c r="F10" s="301"/>
      <c r="G10" s="301"/>
      <c r="H10" s="301"/>
      <c r="I10" s="301"/>
      <c r="J10" s="301"/>
      <c r="K10" s="301"/>
      <c r="L10" s="301"/>
      <c r="M10" s="302"/>
      <c r="N10" s="218"/>
      <c r="O10" s="218"/>
      <c r="P10" s="218"/>
      <c r="Q10" s="218"/>
    </row>
    <row r="11" spans="2:33" collapsed="1" x14ac:dyDescent="0.25"/>
    <row r="12" spans="2:33" ht="13" x14ac:dyDescent="0.3">
      <c r="B12" s="50" t="s">
        <v>33</v>
      </c>
      <c r="C12" s="49"/>
    </row>
    <row r="13" spans="2:33" ht="6.75" customHeight="1" x14ac:dyDescent="0.25"/>
    <row r="14" spans="2:33" ht="21.75" customHeight="1" x14ac:dyDescent="0.25">
      <c r="B14" s="52" t="s">
        <v>34</v>
      </c>
      <c r="C14" s="353" t="s">
        <v>37</v>
      </c>
      <c r="D14" s="354"/>
      <c r="E14" s="355"/>
      <c r="F14" s="341" t="s">
        <v>67</v>
      </c>
      <c r="G14" s="356"/>
      <c r="H14" s="341" t="s">
        <v>3</v>
      </c>
      <c r="I14" s="356"/>
      <c r="J14" s="341" t="s">
        <v>886</v>
      </c>
      <c r="K14" s="342"/>
      <c r="L14" s="342"/>
      <c r="M14" s="342"/>
      <c r="N14" s="341" t="s">
        <v>38</v>
      </c>
      <c r="O14" s="342"/>
      <c r="P14" s="342"/>
      <c r="Q14" s="342"/>
      <c r="T14" s="48" t="s">
        <v>35</v>
      </c>
      <c r="Y14" s="48" t="s">
        <v>45</v>
      </c>
      <c r="Z14" s="48" t="s">
        <v>44</v>
      </c>
    </row>
    <row r="15" spans="2:33" ht="1.5" customHeight="1" x14ac:dyDescent="0.3">
      <c r="B15" s="314"/>
      <c r="C15" s="314"/>
      <c r="D15" s="314"/>
      <c r="E15" s="314"/>
      <c r="F15" s="314"/>
      <c r="G15" s="314"/>
      <c r="H15" s="314"/>
      <c r="I15" s="314"/>
      <c r="J15" s="314"/>
      <c r="K15" s="314"/>
      <c r="L15" s="314"/>
      <c r="M15" s="314"/>
      <c r="N15" s="219"/>
      <c r="O15" s="219"/>
      <c r="P15" s="219"/>
      <c r="Q15" s="219"/>
    </row>
    <row r="16" spans="2:33" ht="40" customHeight="1" thickBot="1" x14ac:dyDescent="0.35">
      <c r="B16" s="180">
        <v>1</v>
      </c>
      <c r="C16" s="310" t="s">
        <v>1137</v>
      </c>
      <c r="D16" s="310"/>
      <c r="E16" s="310"/>
      <c r="F16" s="404" t="s">
        <v>432</v>
      </c>
      <c r="G16" s="404"/>
      <c r="H16" s="340" t="s">
        <v>42</v>
      </c>
      <c r="I16" s="340"/>
      <c r="J16" s="340" t="s">
        <v>29</v>
      </c>
      <c r="K16" s="340"/>
      <c r="L16" s="340"/>
      <c r="M16" s="340"/>
      <c r="N16" s="340"/>
      <c r="O16" s="340"/>
      <c r="P16" s="340"/>
      <c r="Q16" s="340"/>
      <c r="S16" s="74">
        <f>IF(H16="Nicht anwendbar","n.a.",0)</f>
        <v>0</v>
      </c>
      <c r="T16" s="75">
        <f>IF(H16="Vollständig",1,0)</f>
        <v>0</v>
      </c>
      <c r="U16" s="75">
        <f t="shared" ref="U16:U27" si="0">IF(H16="In den meisten Fällen",0.75,0)</f>
        <v>0</v>
      </c>
      <c r="V16" s="75">
        <f t="shared" ref="V16:V27" si="1">IF(H16="In ein Paar Fällen",0.5,0)</f>
        <v>0</v>
      </c>
      <c r="W16" s="75">
        <f t="shared" ref="W16:W27" si="2">IF(H16="Gar nicht",0,0)</f>
        <v>0</v>
      </c>
      <c r="X16" s="75">
        <f>IF(S16&gt;0,"n.a.",SUM(S16:W16))</f>
        <v>0</v>
      </c>
      <c r="Y16" s="48">
        <f>X16</f>
        <v>0</v>
      </c>
      <c r="Z16" s="48">
        <f>IF(Y16&lt;&gt;"n.a.",SUM(Y16,Y17,Y19,Y23,Y27),NA())</f>
        <v>0</v>
      </c>
      <c r="AG16" s="49" t="str">
        <f t="shared" ref="AG16:AG18" si="3">IF(X16&gt;0.5,"Umgesetzt","Nicht umgesetzt")</f>
        <v>Nicht umgesetzt</v>
      </c>
    </row>
    <row r="17" spans="2:33" ht="40" customHeight="1" thickBot="1" x14ac:dyDescent="0.3">
      <c r="B17" s="325">
        <v>2</v>
      </c>
      <c r="C17" s="343" t="s">
        <v>434</v>
      </c>
      <c r="D17" s="343"/>
      <c r="E17" s="343"/>
      <c r="F17" s="405" t="s">
        <v>442</v>
      </c>
      <c r="G17" s="406"/>
      <c r="H17" s="365" t="s">
        <v>42</v>
      </c>
      <c r="I17" s="365"/>
      <c r="J17" s="351" t="s">
        <v>1172</v>
      </c>
      <c r="K17" s="352"/>
      <c r="L17" s="352"/>
      <c r="M17" s="352"/>
      <c r="N17" s="339"/>
      <c r="O17" s="339"/>
      <c r="P17" s="339"/>
      <c r="Q17" s="339"/>
      <c r="S17" s="49">
        <f t="shared" ref="S17:S29" si="4">IF(H17="Nicht anwendbar","n.a.",0)</f>
        <v>0</v>
      </c>
      <c r="T17" s="49">
        <f t="shared" ref="T17:T29" si="5">IF(H17="Vollständig",1,IF(H17="Nicht anwendbar",1,0))</f>
        <v>0</v>
      </c>
      <c r="U17" s="49">
        <f t="shared" si="0"/>
        <v>0</v>
      </c>
      <c r="V17" s="49">
        <f t="shared" si="1"/>
        <v>0</v>
      </c>
      <c r="W17" s="49">
        <f t="shared" si="2"/>
        <v>0</v>
      </c>
      <c r="X17" s="143">
        <f>IFERROR(SUM(T17:W18)/COUNTIF(H17:H18,"&lt;&gt;Nicht anwendbar"),"n.a.")</f>
        <v>0</v>
      </c>
      <c r="Y17" s="48">
        <f>IF(X16=1,X17,0)</f>
        <v>0</v>
      </c>
      <c r="AG17" s="49" t="str">
        <f t="shared" si="3"/>
        <v>Nicht umgesetzt</v>
      </c>
    </row>
    <row r="18" spans="2:33" ht="40" customHeight="1" thickBot="1" x14ac:dyDescent="0.3">
      <c r="B18" s="323"/>
      <c r="C18" s="350" t="s">
        <v>433</v>
      </c>
      <c r="D18" s="350"/>
      <c r="E18" s="350"/>
      <c r="F18" s="407"/>
      <c r="G18" s="407"/>
      <c r="H18" s="340" t="s">
        <v>42</v>
      </c>
      <c r="I18" s="340"/>
      <c r="J18" s="275"/>
      <c r="K18" s="275"/>
      <c r="L18" s="275"/>
      <c r="M18" s="275"/>
      <c r="N18" s="339"/>
      <c r="O18" s="339"/>
      <c r="P18" s="339"/>
      <c r="Q18" s="339"/>
      <c r="S18" s="149">
        <f t="shared" si="4"/>
        <v>0</v>
      </c>
      <c r="T18" s="149">
        <f t="shared" si="5"/>
        <v>0</v>
      </c>
      <c r="U18" s="149">
        <f t="shared" si="0"/>
        <v>0</v>
      </c>
      <c r="V18" s="149">
        <f t="shared" si="1"/>
        <v>0</v>
      </c>
      <c r="W18" s="149">
        <f t="shared" si="2"/>
        <v>0</v>
      </c>
      <c r="X18" s="149"/>
      <c r="AG18" s="49" t="str">
        <f t="shared" si="3"/>
        <v>Nicht umgesetzt</v>
      </c>
    </row>
    <row r="19" spans="2:33" ht="40" customHeight="1" thickBot="1" x14ac:dyDescent="0.3">
      <c r="B19" s="325">
        <v>3</v>
      </c>
      <c r="C19" s="344" t="s">
        <v>435</v>
      </c>
      <c r="D19" s="345"/>
      <c r="E19" s="345"/>
      <c r="F19" s="408" t="s">
        <v>443</v>
      </c>
      <c r="G19" s="409"/>
      <c r="H19" s="365" t="s">
        <v>42</v>
      </c>
      <c r="I19" s="365"/>
      <c r="J19" s="357" t="s">
        <v>945</v>
      </c>
      <c r="K19" s="358"/>
      <c r="L19" s="358"/>
      <c r="M19" s="358"/>
      <c r="N19" s="272"/>
      <c r="O19" s="272"/>
      <c r="P19" s="272"/>
      <c r="Q19" s="272"/>
      <c r="S19" s="48">
        <f t="shared" si="4"/>
        <v>0</v>
      </c>
      <c r="T19" s="49">
        <f t="shared" si="5"/>
        <v>0</v>
      </c>
      <c r="U19" s="49">
        <f t="shared" si="0"/>
        <v>0</v>
      </c>
      <c r="V19" s="49">
        <f t="shared" si="1"/>
        <v>0</v>
      </c>
      <c r="W19" s="49">
        <f t="shared" si="2"/>
        <v>0</v>
      </c>
      <c r="X19" s="143">
        <f>IFERROR(SUM(T19:W22)/COUNTIF(H19:H22,"&lt;&gt;Nicht anwendbar"),"n.a.")</f>
        <v>0</v>
      </c>
      <c r="Y19" s="48">
        <f>IF(Y17=1,X19,0)</f>
        <v>0</v>
      </c>
    </row>
    <row r="20" spans="2:33" ht="40" customHeight="1" thickBot="1" x14ac:dyDescent="0.3">
      <c r="B20" s="323"/>
      <c r="C20" s="347" t="s">
        <v>436</v>
      </c>
      <c r="D20" s="348"/>
      <c r="E20" s="348"/>
      <c r="F20" s="410"/>
      <c r="G20" s="410"/>
      <c r="H20" s="366" t="s">
        <v>42</v>
      </c>
      <c r="I20" s="366"/>
      <c r="J20" s="282"/>
      <c r="K20" s="282"/>
      <c r="L20" s="282"/>
      <c r="M20" s="282"/>
      <c r="N20" s="339"/>
      <c r="O20" s="339"/>
      <c r="P20" s="339"/>
      <c r="Q20" s="339"/>
      <c r="S20" s="48">
        <f t="shared" si="4"/>
        <v>0</v>
      </c>
      <c r="T20" s="49">
        <f t="shared" si="5"/>
        <v>0</v>
      </c>
      <c r="U20" s="49">
        <f t="shared" si="0"/>
        <v>0</v>
      </c>
      <c r="V20" s="49">
        <f t="shared" si="1"/>
        <v>0</v>
      </c>
      <c r="W20" s="49">
        <f t="shared" si="2"/>
        <v>0</v>
      </c>
    </row>
    <row r="21" spans="2:33" ht="40" customHeight="1" thickBot="1" x14ac:dyDescent="0.3">
      <c r="B21" s="323"/>
      <c r="C21" s="347" t="s">
        <v>438</v>
      </c>
      <c r="D21" s="348"/>
      <c r="E21" s="348"/>
      <c r="F21" s="410"/>
      <c r="G21" s="410"/>
      <c r="H21" s="366" t="s">
        <v>42</v>
      </c>
      <c r="I21" s="366"/>
      <c r="J21" s="282"/>
      <c r="K21" s="282"/>
      <c r="L21" s="282"/>
      <c r="M21" s="282"/>
      <c r="N21" s="339"/>
      <c r="O21" s="339"/>
      <c r="P21" s="339"/>
      <c r="Q21" s="339"/>
      <c r="S21" s="48">
        <f t="shared" si="4"/>
        <v>0</v>
      </c>
      <c r="T21" s="49">
        <f t="shared" si="5"/>
        <v>0</v>
      </c>
      <c r="U21" s="49">
        <f t="shared" si="0"/>
        <v>0</v>
      </c>
      <c r="V21" s="49">
        <f t="shared" si="1"/>
        <v>0</v>
      </c>
      <c r="W21" s="49">
        <f t="shared" si="2"/>
        <v>0</v>
      </c>
    </row>
    <row r="22" spans="2:33" ht="40" customHeight="1" thickBot="1" x14ac:dyDescent="0.3">
      <c r="B22" s="323"/>
      <c r="C22" s="349" t="s">
        <v>437</v>
      </c>
      <c r="D22" s="388"/>
      <c r="E22" s="388"/>
      <c r="F22" s="411"/>
      <c r="G22" s="411"/>
      <c r="H22" s="340" t="s">
        <v>42</v>
      </c>
      <c r="I22" s="340"/>
      <c r="J22" s="270"/>
      <c r="K22" s="270"/>
      <c r="L22" s="270"/>
      <c r="M22" s="270"/>
      <c r="N22" s="339"/>
      <c r="O22" s="339"/>
      <c r="P22" s="339"/>
      <c r="Q22" s="339"/>
      <c r="S22" s="149">
        <f t="shared" si="4"/>
        <v>0</v>
      </c>
      <c r="T22" s="149">
        <f t="shared" si="5"/>
        <v>0</v>
      </c>
      <c r="U22" s="149">
        <f t="shared" si="0"/>
        <v>0</v>
      </c>
      <c r="V22" s="149">
        <f t="shared" si="1"/>
        <v>0</v>
      </c>
      <c r="W22" s="149">
        <f t="shared" si="2"/>
        <v>0</v>
      </c>
      <c r="X22" s="149"/>
    </row>
    <row r="23" spans="2:33" ht="40" customHeight="1" thickBot="1" x14ac:dyDescent="0.3">
      <c r="B23" s="325">
        <v>4</v>
      </c>
      <c r="C23" s="343" t="s">
        <v>439</v>
      </c>
      <c r="D23" s="343"/>
      <c r="E23" s="343"/>
      <c r="F23" s="405" t="s">
        <v>445</v>
      </c>
      <c r="G23" s="406"/>
      <c r="H23" s="365" t="s">
        <v>42</v>
      </c>
      <c r="I23" s="365"/>
      <c r="J23" s="351" t="s">
        <v>946</v>
      </c>
      <c r="K23" s="352"/>
      <c r="L23" s="352"/>
      <c r="M23" s="352"/>
      <c r="N23" s="272"/>
      <c r="O23" s="272"/>
      <c r="P23" s="272"/>
      <c r="Q23" s="272"/>
      <c r="S23" s="49">
        <f t="shared" si="4"/>
        <v>0</v>
      </c>
      <c r="T23" s="49">
        <f t="shared" si="5"/>
        <v>0</v>
      </c>
      <c r="U23" s="49">
        <f t="shared" si="0"/>
        <v>0</v>
      </c>
      <c r="V23" s="49">
        <f t="shared" si="1"/>
        <v>0</v>
      </c>
      <c r="W23" s="49">
        <f t="shared" si="2"/>
        <v>0</v>
      </c>
      <c r="X23" s="143">
        <f>IFERROR(SUM(T23:W26)/COUNTIF(H23:H26,"&lt;&gt;Nicht anwendbar"),"n.a.")</f>
        <v>0</v>
      </c>
      <c r="Y23" s="48">
        <f>IF(Y19=1,X23,0)</f>
        <v>0</v>
      </c>
    </row>
    <row r="24" spans="2:33" ht="40" customHeight="1" thickBot="1" x14ac:dyDescent="0.3">
      <c r="B24" s="323"/>
      <c r="C24" s="330" t="s">
        <v>440</v>
      </c>
      <c r="D24" s="330"/>
      <c r="E24" s="330"/>
      <c r="F24" s="412"/>
      <c r="G24" s="412"/>
      <c r="H24" s="366" t="s">
        <v>42</v>
      </c>
      <c r="I24" s="366"/>
      <c r="J24" s="286"/>
      <c r="K24" s="286"/>
      <c r="L24" s="286"/>
      <c r="M24" s="286"/>
      <c r="N24" s="339"/>
      <c r="O24" s="339"/>
      <c r="P24" s="339"/>
      <c r="Q24" s="339"/>
      <c r="S24" s="49">
        <f t="shared" si="4"/>
        <v>0</v>
      </c>
      <c r="T24" s="49">
        <f t="shared" si="5"/>
        <v>0</v>
      </c>
      <c r="U24" s="49">
        <f t="shared" si="0"/>
        <v>0</v>
      </c>
      <c r="V24" s="49">
        <f t="shared" si="1"/>
        <v>0</v>
      </c>
      <c r="W24" s="49">
        <f t="shared" si="2"/>
        <v>0</v>
      </c>
      <c r="X24" s="49"/>
    </row>
    <row r="25" spans="2:33" ht="40" customHeight="1" thickBot="1" x14ac:dyDescent="0.3">
      <c r="B25" s="323"/>
      <c r="C25" s="330" t="s">
        <v>441</v>
      </c>
      <c r="D25" s="330"/>
      <c r="E25" s="330"/>
      <c r="F25" s="412"/>
      <c r="G25" s="412"/>
      <c r="H25" s="366" t="s">
        <v>42</v>
      </c>
      <c r="I25" s="366"/>
      <c r="J25" s="286"/>
      <c r="K25" s="286"/>
      <c r="L25" s="286"/>
      <c r="M25" s="286"/>
      <c r="N25" s="339"/>
      <c r="O25" s="339"/>
      <c r="P25" s="339"/>
      <c r="Q25" s="339"/>
      <c r="S25" s="49">
        <f t="shared" si="4"/>
        <v>0</v>
      </c>
      <c r="T25" s="49">
        <f t="shared" si="5"/>
        <v>0</v>
      </c>
      <c r="U25" s="49">
        <f t="shared" si="0"/>
        <v>0</v>
      </c>
      <c r="V25" s="49">
        <f t="shared" si="1"/>
        <v>0</v>
      </c>
      <c r="W25" s="49">
        <f t="shared" si="2"/>
        <v>0</v>
      </c>
      <c r="X25" s="49"/>
    </row>
    <row r="26" spans="2:33" ht="40" customHeight="1" thickBot="1" x14ac:dyDescent="0.3">
      <c r="B26" s="323"/>
      <c r="C26" s="350" t="s">
        <v>444</v>
      </c>
      <c r="D26" s="350"/>
      <c r="E26" s="350"/>
      <c r="F26" s="407"/>
      <c r="G26" s="407"/>
      <c r="H26" s="340" t="s">
        <v>42</v>
      </c>
      <c r="I26" s="340"/>
      <c r="J26" s="275"/>
      <c r="K26" s="275"/>
      <c r="L26" s="275"/>
      <c r="M26" s="275"/>
      <c r="N26" s="339"/>
      <c r="O26" s="339"/>
      <c r="P26" s="339"/>
      <c r="Q26" s="339"/>
      <c r="S26" s="149">
        <f t="shared" si="4"/>
        <v>0</v>
      </c>
      <c r="T26" s="149">
        <f t="shared" si="5"/>
        <v>0</v>
      </c>
      <c r="U26" s="149">
        <f t="shared" si="0"/>
        <v>0</v>
      </c>
      <c r="V26" s="149">
        <f t="shared" si="1"/>
        <v>0</v>
      </c>
      <c r="W26" s="149">
        <f t="shared" si="2"/>
        <v>0</v>
      </c>
      <c r="X26" s="149"/>
    </row>
    <row r="27" spans="2:33" ht="40" customHeight="1" thickBot="1" x14ac:dyDescent="0.3">
      <c r="B27" s="325">
        <v>5</v>
      </c>
      <c r="C27" s="343" t="s">
        <v>1173</v>
      </c>
      <c r="D27" s="343"/>
      <c r="E27" s="343"/>
      <c r="F27" s="361" t="s">
        <v>448</v>
      </c>
      <c r="G27" s="362"/>
      <c r="H27" s="365" t="s">
        <v>42</v>
      </c>
      <c r="I27" s="365"/>
      <c r="J27" s="351" t="s">
        <v>947</v>
      </c>
      <c r="K27" s="352"/>
      <c r="L27" s="352"/>
      <c r="M27" s="352"/>
      <c r="N27" s="272"/>
      <c r="O27" s="272"/>
      <c r="P27" s="272"/>
      <c r="Q27" s="272"/>
      <c r="S27" s="48">
        <f t="shared" si="4"/>
        <v>0</v>
      </c>
      <c r="T27" s="49">
        <f t="shared" si="5"/>
        <v>0</v>
      </c>
      <c r="U27" s="49">
        <f t="shared" si="0"/>
        <v>0</v>
      </c>
      <c r="V27" s="49">
        <f t="shared" si="1"/>
        <v>0</v>
      </c>
      <c r="W27" s="49">
        <f t="shared" si="2"/>
        <v>0</v>
      </c>
      <c r="X27" s="143">
        <f>IFERROR(SUM(T27:W29)/COUNTIF(H27:H29,"&lt;&gt;Nicht anwendbar"),"n.a.")</f>
        <v>0</v>
      </c>
      <c r="Y27" s="48">
        <f>IF(Y23=1,X27,0)</f>
        <v>0</v>
      </c>
    </row>
    <row r="28" spans="2:33" ht="40" customHeight="1" thickBot="1" x14ac:dyDescent="0.3">
      <c r="B28" s="323"/>
      <c r="C28" s="330" t="s">
        <v>447</v>
      </c>
      <c r="D28" s="330"/>
      <c r="E28" s="330"/>
      <c r="F28" s="350"/>
      <c r="G28" s="307"/>
      <c r="H28" s="366" t="s">
        <v>42</v>
      </c>
      <c r="I28" s="366"/>
      <c r="J28" s="286"/>
      <c r="K28" s="286"/>
      <c r="L28" s="286"/>
      <c r="M28" s="286"/>
      <c r="N28" s="339"/>
      <c r="O28" s="339"/>
      <c r="P28" s="339"/>
      <c r="Q28" s="339"/>
      <c r="S28" s="49">
        <f t="shared" si="4"/>
        <v>0</v>
      </c>
      <c r="T28" s="49">
        <f t="shared" si="5"/>
        <v>0</v>
      </c>
      <c r="U28" s="49">
        <f t="shared" ref="U28" si="6">IF(H28="In den meisten Fällen",0.75,0)</f>
        <v>0</v>
      </c>
      <c r="V28" s="49">
        <f t="shared" ref="V28" si="7">IF(H28="In ein Paar Fällen",0.5,0)</f>
        <v>0</v>
      </c>
      <c r="W28" s="49">
        <f t="shared" ref="W28" si="8">IF(H28="Gar nicht",0,0)</f>
        <v>0</v>
      </c>
      <c r="X28" s="49"/>
    </row>
    <row r="29" spans="2:33" ht="40" customHeight="1" thickBot="1" x14ac:dyDescent="0.3">
      <c r="B29" s="326"/>
      <c r="C29" s="360" t="s">
        <v>446</v>
      </c>
      <c r="D29" s="360"/>
      <c r="E29" s="360"/>
      <c r="F29" s="308"/>
      <c r="G29" s="308"/>
      <c r="H29" s="340" t="s">
        <v>42</v>
      </c>
      <c r="I29" s="340"/>
      <c r="J29" s="275"/>
      <c r="K29" s="275"/>
      <c r="L29" s="275"/>
      <c r="M29" s="275"/>
      <c r="N29" s="309"/>
      <c r="O29" s="309"/>
      <c r="P29" s="309"/>
      <c r="Q29" s="309"/>
      <c r="S29" s="150">
        <f t="shared" si="4"/>
        <v>0</v>
      </c>
      <c r="T29" s="150">
        <f t="shared" si="5"/>
        <v>0</v>
      </c>
      <c r="U29" s="150">
        <f>IF(H29="In den meisten Fällen",0.75,0)</f>
        <v>0</v>
      </c>
      <c r="V29" s="150">
        <f>IF(H29="In ein Paar Fällen",0.5,0)</f>
        <v>0</v>
      </c>
      <c r="W29" s="150">
        <f>IF(H29="Gar nicht",0,0)</f>
        <v>0</v>
      </c>
      <c r="X29" s="150"/>
    </row>
  </sheetData>
  <sheetProtection formatCells="0"/>
  <protectedRanges>
    <protectedRange sqref="N31:Q32" name="Bereich1"/>
    <protectedRange sqref="N19:Q19 N23:Q23 N27:Q27" name="Bereich1_1"/>
  </protectedRanges>
  <mergeCells count="68">
    <mergeCell ref="B27:B29"/>
    <mergeCell ref="B23:B26"/>
    <mergeCell ref="C23:E23"/>
    <mergeCell ref="H23:I23"/>
    <mergeCell ref="C24:E24"/>
    <mergeCell ref="H24:I24"/>
    <mergeCell ref="C25:E25"/>
    <mergeCell ref="H25:I25"/>
    <mergeCell ref="C26:E26"/>
    <mergeCell ref="H26:I26"/>
    <mergeCell ref="F23:G26"/>
    <mergeCell ref="F27:G29"/>
    <mergeCell ref="C28:E28"/>
    <mergeCell ref="C27:E27"/>
    <mergeCell ref="C29:E29"/>
    <mergeCell ref="B19:B22"/>
    <mergeCell ref="C19:E19"/>
    <mergeCell ref="H19:I19"/>
    <mergeCell ref="C20:E20"/>
    <mergeCell ref="H20:I20"/>
    <mergeCell ref="C21:E21"/>
    <mergeCell ref="H21:I21"/>
    <mergeCell ref="C22:E22"/>
    <mergeCell ref="H22:I22"/>
    <mergeCell ref="F19:G22"/>
    <mergeCell ref="C16:E16"/>
    <mergeCell ref="F16:G16"/>
    <mergeCell ref="H16:I16"/>
    <mergeCell ref="J16:M16"/>
    <mergeCell ref="B17:B18"/>
    <mergeCell ref="C17:E17"/>
    <mergeCell ref="H17:I17"/>
    <mergeCell ref="C18:E18"/>
    <mergeCell ref="H18:I18"/>
    <mergeCell ref="F17:G18"/>
    <mergeCell ref="J17:M18"/>
    <mergeCell ref="B15:M15"/>
    <mergeCell ref="B4:M4"/>
    <mergeCell ref="C6:G6"/>
    <mergeCell ref="C7:M7"/>
    <mergeCell ref="C8:M8"/>
    <mergeCell ref="C9:M9"/>
    <mergeCell ref="C10:M10"/>
    <mergeCell ref="C14:E14"/>
    <mergeCell ref="F14:G14"/>
    <mergeCell ref="H14:I14"/>
    <mergeCell ref="J14:M14"/>
    <mergeCell ref="J19:M22"/>
    <mergeCell ref="J23:M26"/>
    <mergeCell ref="H27:I27"/>
    <mergeCell ref="H29:I29"/>
    <mergeCell ref="H28:I28"/>
    <mergeCell ref="J27:M29"/>
    <mergeCell ref="N14:Q14"/>
    <mergeCell ref="N16:Q16"/>
    <mergeCell ref="N17:Q17"/>
    <mergeCell ref="N18:Q18"/>
    <mergeCell ref="N19:Q19"/>
    <mergeCell ref="N20:Q20"/>
    <mergeCell ref="N21:Q21"/>
    <mergeCell ref="N22:Q22"/>
    <mergeCell ref="N23:Q23"/>
    <mergeCell ref="N24:Q24"/>
    <mergeCell ref="N25:Q25"/>
    <mergeCell ref="N26:Q26"/>
    <mergeCell ref="N27:Q27"/>
    <mergeCell ref="N28:Q28"/>
    <mergeCell ref="N29:Q29"/>
  </mergeCells>
  <conditionalFormatting sqref="H16:I27 H29:I29">
    <cfRule type="containsText" dxfId="44" priority="2" operator="containsText" text="Bitte auswählen">
      <formula>NOT(ISERROR(SEARCH("Bitte auswählen",H16)))</formula>
    </cfRule>
  </conditionalFormatting>
  <conditionalFormatting sqref="H28:I28">
    <cfRule type="containsText" dxfId="43" priority="1" operator="containsText" text="Bitte auswählen">
      <formula>NOT(ISERROR(SEARCH("Bitte auswählen",H28)))</formula>
    </cfRule>
  </conditionalFormatting>
  <dataValidations xWindow="772" yWindow="390" count="2">
    <dataValidation allowBlank="1" showInputMessage="1" showErrorMessage="1" promptTitle="[+] Klicken" prompt="Hier können Sie sich erweiterte Informationen zu dem Prozess anzeigen lassen." sqref="A11" xr:uid="{00000000-0002-0000-1100-000000000000}"/>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5D93E698-2BD6-4008-A77D-C1E1B0220A08}"/>
  </dataValidations>
  <pageMargins left="0.23622047244094491" right="0.23622047244094491" top="0.74803149606299213" bottom="0.74803149606299213" header="0.31496062992125984" footer="0.31496062992125984"/>
  <pageSetup paperSize="9" scale="46" orientation="landscape" horizontalDpi="4294967293"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772" yWindow="390" count="1">
        <x14:dataValidation type="list" allowBlank="1" showInputMessage="1" showErrorMessage="1" xr:uid="{00000000-0002-0000-1100-000001000000}">
          <x14:formula1>
            <xm:f>Data!$I$3:$I$8</xm:f>
          </x14:formula1>
          <xm:sqref>H16:I29</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333399"/>
    <pageSetUpPr fitToPage="1"/>
  </sheetPr>
  <dimension ref="B4:AG27"/>
  <sheetViews>
    <sheetView showGridLines="0" zoomScale="90" zoomScaleNormal="90" zoomScalePageLayoutView="85" workbookViewId="0"/>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68.54296875" style="48" hidden="1" customWidth="1" outlineLevel="1"/>
    <col min="7" max="7" width="26.453125" style="48" hidden="1" customWidth="1" outlineLevel="1"/>
    <col min="8" max="8" width="11.453125" style="48" collapsed="1"/>
    <col min="9" max="10" width="11.453125" style="48"/>
    <col min="11" max="11" width="13.26953125" style="48" customWidth="1"/>
    <col min="12" max="12" width="11.453125" style="48"/>
    <col min="13" max="13" width="31.26953125" style="48" customWidth="1"/>
    <col min="14" max="14" width="11.453125" style="48"/>
    <col min="15" max="15" width="13.26953125" style="48" customWidth="1"/>
    <col min="16" max="16" width="11.453125" style="48"/>
    <col min="17" max="17" width="24.81640625" style="48" customWidth="1"/>
    <col min="18" max="18" width="11.453125" style="49"/>
    <col min="19" max="24" width="11.453125" style="48" customWidth="1"/>
    <col min="25" max="25" width="14" style="48" customWidth="1"/>
    <col min="26" max="32" width="11.453125" style="48" customWidth="1"/>
    <col min="33" max="33" width="11.453125" style="48" hidden="1" customWidth="1"/>
    <col min="34" max="16384" width="11.453125" style="48"/>
  </cols>
  <sheetData>
    <row r="4" spans="2:33" ht="14" x14ac:dyDescent="0.3">
      <c r="B4" s="290" t="s">
        <v>39</v>
      </c>
      <c r="C4" s="290"/>
      <c r="D4" s="290"/>
      <c r="E4" s="290"/>
      <c r="F4" s="290"/>
      <c r="G4" s="290"/>
      <c r="H4" s="290"/>
      <c r="I4" s="290"/>
      <c r="J4" s="290"/>
      <c r="K4" s="290"/>
      <c r="L4" s="290"/>
      <c r="M4" s="290"/>
      <c r="N4" s="216"/>
      <c r="O4" s="216"/>
      <c r="P4" s="216"/>
      <c r="Q4" s="216"/>
    </row>
    <row r="5" spans="2:33" ht="9" customHeight="1" x14ac:dyDescent="0.25"/>
    <row r="6" spans="2:33" ht="32.25" customHeight="1" thickBot="1" x14ac:dyDescent="0.3">
      <c r="B6" s="162" t="s">
        <v>148</v>
      </c>
      <c r="C6" s="293" t="s">
        <v>166</v>
      </c>
      <c r="D6" s="293"/>
      <c r="E6" s="293"/>
      <c r="F6" s="293"/>
      <c r="G6" s="293"/>
      <c r="H6" s="53"/>
      <c r="I6" s="53"/>
      <c r="J6" s="53"/>
      <c r="K6" s="53" t="s">
        <v>36</v>
      </c>
      <c r="L6" s="55">
        <f>ROUNDDOWN(Z16/0.25,0)*0.25</f>
        <v>0</v>
      </c>
      <c r="M6" s="54" t="str">
        <f>IF(L6&lt;1,"Unvollständig",IF(L6&lt;2,"Initial",IF(L6&lt;3,"Gemanagt",IF(L6&lt;4,"Definiert",IF(L6&lt;5,"Quantitativ gemanagt",IF(L6&lt;6,"Optimiert","Ausstehend"))))))</f>
        <v>Unvollständig</v>
      </c>
      <c r="N6" s="53"/>
      <c r="O6" s="53"/>
      <c r="P6" s="55"/>
      <c r="Q6" s="54"/>
    </row>
    <row r="7" spans="2:33" ht="35.25" hidden="1" customHeight="1" outlineLevel="1" x14ac:dyDescent="0.25">
      <c r="B7" s="76" t="s">
        <v>211</v>
      </c>
      <c r="C7" s="294" t="s">
        <v>783</v>
      </c>
      <c r="D7" s="295"/>
      <c r="E7" s="295"/>
      <c r="F7" s="295"/>
      <c r="G7" s="295"/>
      <c r="H7" s="295"/>
      <c r="I7" s="295"/>
      <c r="J7" s="295"/>
      <c r="K7" s="295"/>
      <c r="L7" s="295"/>
      <c r="M7" s="296"/>
      <c r="N7" s="218"/>
      <c r="O7" s="218"/>
      <c r="P7" s="218"/>
      <c r="Q7" s="218"/>
    </row>
    <row r="8" spans="2:33" ht="70.5" hidden="1" customHeight="1" outlineLevel="1" x14ac:dyDescent="0.25">
      <c r="B8" s="51" t="s">
        <v>212</v>
      </c>
      <c r="C8" s="297" t="s">
        <v>449</v>
      </c>
      <c r="D8" s="298"/>
      <c r="E8" s="298"/>
      <c r="F8" s="298"/>
      <c r="G8" s="298"/>
      <c r="H8" s="298"/>
      <c r="I8" s="298"/>
      <c r="J8" s="298"/>
      <c r="K8" s="298"/>
      <c r="L8" s="298"/>
      <c r="M8" s="299"/>
      <c r="N8" s="217"/>
      <c r="O8" s="217"/>
      <c r="P8" s="217"/>
      <c r="Q8" s="217"/>
    </row>
    <row r="9" spans="2:33" ht="75" hidden="1" customHeight="1" outlineLevel="1" x14ac:dyDescent="0.25">
      <c r="B9" s="51" t="s">
        <v>30</v>
      </c>
      <c r="C9" s="300" t="s">
        <v>450</v>
      </c>
      <c r="D9" s="301"/>
      <c r="E9" s="301"/>
      <c r="F9" s="301"/>
      <c r="G9" s="301"/>
      <c r="H9" s="301"/>
      <c r="I9" s="301"/>
      <c r="J9" s="301"/>
      <c r="K9" s="301"/>
      <c r="L9" s="301"/>
      <c r="M9" s="302"/>
      <c r="N9" s="218"/>
      <c r="O9" s="218"/>
      <c r="P9" s="218"/>
      <c r="Q9" s="218"/>
    </row>
    <row r="10" spans="2:33" ht="65.25" hidden="1" customHeight="1" outlineLevel="1" x14ac:dyDescent="0.25">
      <c r="B10" s="51" t="s">
        <v>31</v>
      </c>
      <c r="C10" s="300" t="s">
        <v>451</v>
      </c>
      <c r="D10" s="301"/>
      <c r="E10" s="301"/>
      <c r="F10" s="301"/>
      <c r="G10" s="301"/>
      <c r="H10" s="301"/>
      <c r="I10" s="301"/>
      <c r="J10" s="301"/>
      <c r="K10" s="301"/>
      <c r="L10" s="301"/>
      <c r="M10" s="302"/>
      <c r="N10" s="218"/>
      <c r="O10" s="218"/>
      <c r="P10" s="218"/>
      <c r="Q10" s="218"/>
    </row>
    <row r="11" spans="2:33" collapsed="1" x14ac:dyDescent="0.25"/>
    <row r="12" spans="2:33" ht="13" x14ac:dyDescent="0.3">
      <c r="B12" s="50" t="s">
        <v>33</v>
      </c>
      <c r="C12" s="49"/>
    </row>
    <row r="13" spans="2:33" ht="6.75" customHeight="1" x14ac:dyDescent="0.25"/>
    <row r="14" spans="2:33" ht="21.75" customHeight="1" x14ac:dyDescent="0.25">
      <c r="B14" s="52" t="s">
        <v>34</v>
      </c>
      <c r="C14" s="353" t="s">
        <v>37</v>
      </c>
      <c r="D14" s="354"/>
      <c r="E14" s="355"/>
      <c r="F14" s="341" t="s">
        <v>67</v>
      </c>
      <c r="G14" s="356"/>
      <c r="H14" s="341" t="s">
        <v>3</v>
      </c>
      <c r="I14" s="356"/>
      <c r="J14" s="341" t="s">
        <v>886</v>
      </c>
      <c r="K14" s="342"/>
      <c r="L14" s="342"/>
      <c r="M14" s="342"/>
      <c r="N14" s="341" t="s">
        <v>38</v>
      </c>
      <c r="O14" s="342"/>
      <c r="P14" s="342"/>
      <c r="Q14" s="342"/>
      <c r="S14" s="149"/>
      <c r="T14" s="149" t="s">
        <v>35</v>
      </c>
      <c r="U14" s="149"/>
      <c r="V14" s="149"/>
      <c r="W14" s="149"/>
      <c r="X14" s="149"/>
      <c r="Y14" s="149" t="s">
        <v>45</v>
      </c>
      <c r="Z14" s="149" t="s">
        <v>44</v>
      </c>
    </row>
    <row r="15" spans="2:33" ht="1.5" customHeight="1" x14ac:dyDescent="0.3">
      <c r="B15" s="314"/>
      <c r="C15" s="314"/>
      <c r="D15" s="314"/>
      <c r="E15" s="314"/>
      <c r="F15" s="314"/>
      <c r="G15" s="314"/>
      <c r="H15" s="314"/>
      <c r="I15" s="314"/>
      <c r="J15" s="314"/>
      <c r="K15" s="314"/>
      <c r="L15" s="314"/>
      <c r="M15" s="314"/>
      <c r="N15" s="219"/>
      <c r="O15" s="219"/>
      <c r="P15" s="219"/>
      <c r="Q15" s="219"/>
    </row>
    <row r="16" spans="2:33" ht="40" customHeight="1" thickBot="1" x14ac:dyDescent="0.35">
      <c r="B16" s="180">
        <v>1</v>
      </c>
      <c r="C16" s="310" t="s">
        <v>1138</v>
      </c>
      <c r="D16" s="310"/>
      <c r="E16" s="310"/>
      <c r="F16" s="310" t="s">
        <v>461</v>
      </c>
      <c r="G16" s="310"/>
      <c r="H16" s="340" t="s">
        <v>42</v>
      </c>
      <c r="I16" s="340"/>
      <c r="J16" s="340" t="s">
        <v>29</v>
      </c>
      <c r="K16" s="340"/>
      <c r="L16" s="340"/>
      <c r="M16" s="340"/>
      <c r="N16" s="340"/>
      <c r="O16" s="340"/>
      <c r="P16" s="340"/>
      <c r="Q16" s="340"/>
      <c r="S16" s="74">
        <f>IF(H16="Nicht anwendbar","n.a.",0)</f>
        <v>0</v>
      </c>
      <c r="T16" s="75">
        <f t="shared" ref="T16:T27" si="0">IF(H16="Vollständig",1,IF(H16="Nicht anwendbar",1,0))</f>
        <v>0</v>
      </c>
      <c r="U16" s="75">
        <f>IF(H16="In den meisten Fällen",0.75,0)</f>
        <v>0</v>
      </c>
      <c r="V16" s="75">
        <f>IF(H16="In ein Paar Fällen",0.5,0)</f>
        <v>0</v>
      </c>
      <c r="W16" s="75">
        <f>IF(H16="Gar nicht",0,0)</f>
        <v>0</v>
      </c>
      <c r="X16" s="75">
        <f>IF(S16&gt;0,"n.a.",SUM(S16:W16))</f>
        <v>0</v>
      </c>
      <c r="Y16" s="48">
        <f>X16</f>
        <v>0</v>
      </c>
      <c r="Z16" s="48">
        <f>IF(Y16&lt;&gt;"n.a.",SUM(Y16,Y17,Y19,Y22,Y25),NA())</f>
        <v>0</v>
      </c>
      <c r="AG16" s="49" t="str">
        <f t="shared" ref="AG16:AG18" si="1">IF(X16&gt;0.5,"Umgesetzt","Nicht umgesetzt")</f>
        <v>Nicht umgesetzt</v>
      </c>
    </row>
    <row r="17" spans="2:33" ht="40" customHeight="1" thickBot="1" x14ac:dyDescent="0.3">
      <c r="B17" s="325">
        <v>2</v>
      </c>
      <c r="C17" s="343" t="s">
        <v>453</v>
      </c>
      <c r="D17" s="343"/>
      <c r="E17" s="343"/>
      <c r="F17" s="361" t="s">
        <v>462</v>
      </c>
      <c r="G17" s="362"/>
      <c r="H17" s="365" t="s">
        <v>42</v>
      </c>
      <c r="I17" s="365"/>
      <c r="J17" s="351" t="s">
        <v>948</v>
      </c>
      <c r="K17" s="352"/>
      <c r="L17" s="352"/>
      <c r="M17" s="352"/>
      <c r="N17" s="339"/>
      <c r="O17" s="339"/>
      <c r="P17" s="339"/>
      <c r="Q17" s="339"/>
      <c r="S17" s="49">
        <f t="shared" ref="S17:S27" si="2">IF(H17="Nicht anwendbar","n.a.",0)</f>
        <v>0</v>
      </c>
      <c r="T17" s="49">
        <f t="shared" si="0"/>
        <v>0</v>
      </c>
      <c r="U17" s="49">
        <f>IF(H17="In den meisten Fällen",0.75,0)</f>
        <v>0</v>
      </c>
      <c r="V17" s="49">
        <f>IF(H17="In ein Paar Fällen",0.5,0)</f>
        <v>0</v>
      </c>
      <c r="W17" s="49">
        <f>IF(H17="Gar nicht",0,0)</f>
        <v>0</v>
      </c>
      <c r="X17" s="49">
        <f>IFERROR(SUM(T17:W18)/COUNTIF(H17:H18,"&lt;&gt;Nicht anwendbar"),"n.a.")</f>
        <v>0</v>
      </c>
      <c r="Y17" s="48">
        <f>IF(X16=1,X17,0)</f>
        <v>0</v>
      </c>
      <c r="AG17" s="49" t="str">
        <f t="shared" si="1"/>
        <v>Nicht umgesetzt</v>
      </c>
    </row>
    <row r="18" spans="2:33" ht="40" customHeight="1" thickBot="1" x14ac:dyDescent="0.3">
      <c r="B18" s="326"/>
      <c r="C18" s="308" t="s">
        <v>452</v>
      </c>
      <c r="D18" s="308"/>
      <c r="E18" s="308"/>
      <c r="F18" s="308"/>
      <c r="G18" s="308"/>
      <c r="H18" s="340" t="s">
        <v>42</v>
      </c>
      <c r="I18" s="340"/>
      <c r="J18" s="275"/>
      <c r="K18" s="275"/>
      <c r="L18" s="275"/>
      <c r="M18" s="275"/>
      <c r="N18" s="339"/>
      <c r="O18" s="339"/>
      <c r="P18" s="339"/>
      <c r="Q18" s="339"/>
      <c r="S18" s="75">
        <f t="shared" si="2"/>
        <v>0</v>
      </c>
      <c r="T18" s="75">
        <f t="shared" si="0"/>
        <v>0</v>
      </c>
      <c r="U18" s="75">
        <f t="shared" ref="U18:U27" si="3">IF(H18="In den meisten Fällen",0.75,0)</f>
        <v>0</v>
      </c>
      <c r="V18" s="75">
        <f t="shared" ref="V18:V27" si="4">IF(H18="In ein Paar Fällen",0.5,0)</f>
        <v>0</v>
      </c>
      <c r="W18" s="75">
        <f t="shared" ref="W18:W27" si="5">IF(H18="Gar nicht",0,0)</f>
        <v>0</v>
      </c>
      <c r="X18" s="75"/>
      <c r="AG18" s="49" t="str">
        <f t="shared" si="1"/>
        <v>Nicht umgesetzt</v>
      </c>
    </row>
    <row r="19" spans="2:33" ht="40" customHeight="1" thickBot="1" x14ac:dyDescent="0.3">
      <c r="B19" s="325">
        <v>3</v>
      </c>
      <c r="C19" s="344" t="s">
        <v>454</v>
      </c>
      <c r="D19" s="345"/>
      <c r="E19" s="345"/>
      <c r="F19" s="370" t="s">
        <v>463</v>
      </c>
      <c r="G19" s="371"/>
      <c r="H19" s="365" t="s">
        <v>42</v>
      </c>
      <c r="I19" s="365"/>
      <c r="J19" s="357" t="s">
        <v>949</v>
      </c>
      <c r="K19" s="358"/>
      <c r="L19" s="358"/>
      <c r="M19" s="358"/>
      <c r="N19" s="272"/>
      <c r="O19" s="272"/>
      <c r="P19" s="272"/>
      <c r="Q19" s="272"/>
      <c r="S19" s="48">
        <f t="shared" si="2"/>
        <v>0</v>
      </c>
      <c r="T19" s="49">
        <f t="shared" si="0"/>
        <v>0</v>
      </c>
      <c r="U19" s="49">
        <f t="shared" si="3"/>
        <v>0</v>
      </c>
      <c r="V19" s="49">
        <f t="shared" si="4"/>
        <v>0</v>
      </c>
      <c r="W19" s="49">
        <f t="shared" si="5"/>
        <v>0</v>
      </c>
      <c r="X19" s="143">
        <f>IFERROR(SUM(T19:W21)/COUNTIF(H19:H21,"&lt;&gt;Nicht anwendbar"),"n.a.")</f>
        <v>0</v>
      </c>
      <c r="Y19" s="48">
        <f>IF(Y17=1,X19,0)</f>
        <v>0</v>
      </c>
    </row>
    <row r="20" spans="2:33" ht="40" customHeight="1" thickBot="1" x14ac:dyDescent="0.3">
      <c r="B20" s="323"/>
      <c r="C20" s="347" t="s">
        <v>455</v>
      </c>
      <c r="D20" s="348"/>
      <c r="E20" s="348"/>
      <c r="F20" s="337"/>
      <c r="G20" s="337"/>
      <c r="H20" s="366" t="s">
        <v>42</v>
      </c>
      <c r="I20" s="366"/>
      <c r="J20" s="282"/>
      <c r="K20" s="282"/>
      <c r="L20" s="282"/>
      <c r="M20" s="282"/>
      <c r="N20" s="339"/>
      <c r="O20" s="339"/>
      <c r="P20" s="339"/>
      <c r="Q20" s="339"/>
      <c r="S20" s="48">
        <f t="shared" si="2"/>
        <v>0</v>
      </c>
      <c r="T20" s="49">
        <f t="shared" si="0"/>
        <v>0</v>
      </c>
      <c r="U20" s="49">
        <f t="shared" si="3"/>
        <v>0</v>
      </c>
      <c r="V20" s="49">
        <f t="shared" si="4"/>
        <v>0</v>
      </c>
      <c r="W20" s="49">
        <f t="shared" si="5"/>
        <v>0</v>
      </c>
    </row>
    <row r="21" spans="2:33" ht="40" customHeight="1" thickBot="1" x14ac:dyDescent="0.3">
      <c r="B21" s="326"/>
      <c r="C21" s="368" t="s">
        <v>456</v>
      </c>
      <c r="D21" s="368"/>
      <c r="E21" s="368"/>
      <c r="F21" s="386"/>
      <c r="G21" s="386"/>
      <c r="H21" s="340" t="s">
        <v>42</v>
      </c>
      <c r="I21" s="340"/>
      <c r="J21" s="270"/>
      <c r="K21" s="270"/>
      <c r="L21" s="270"/>
      <c r="M21" s="270"/>
      <c r="N21" s="339"/>
      <c r="O21" s="339"/>
      <c r="P21" s="339"/>
      <c r="Q21" s="339"/>
      <c r="S21" s="75">
        <f t="shared" si="2"/>
        <v>0</v>
      </c>
      <c r="T21" s="75">
        <f t="shared" si="0"/>
        <v>0</v>
      </c>
      <c r="U21" s="75">
        <f t="shared" si="3"/>
        <v>0</v>
      </c>
      <c r="V21" s="75">
        <f t="shared" si="4"/>
        <v>0</v>
      </c>
      <c r="W21" s="75">
        <f t="shared" si="5"/>
        <v>0</v>
      </c>
      <c r="X21" s="75"/>
    </row>
    <row r="22" spans="2:33" ht="40" customHeight="1" thickBot="1" x14ac:dyDescent="0.3">
      <c r="B22" s="325">
        <v>4</v>
      </c>
      <c r="C22" s="343" t="s">
        <v>784</v>
      </c>
      <c r="D22" s="343"/>
      <c r="E22" s="343"/>
      <c r="F22" s="361" t="s">
        <v>464</v>
      </c>
      <c r="G22" s="362"/>
      <c r="H22" s="365" t="s">
        <v>42</v>
      </c>
      <c r="I22" s="365"/>
      <c r="J22" s="351" t="s">
        <v>950</v>
      </c>
      <c r="K22" s="352"/>
      <c r="L22" s="352"/>
      <c r="M22" s="352"/>
      <c r="N22" s="272"/>
      <c r="O22" s="272"/>
      <c r="P22" s="272"/>
      <c r="Q22" s="272"/>
      <c r="S22" s="49">
        <f t="shared" si="2"/>
        <v>0</v>
      </c>
      <c r="T22" s="49">
        <f t="shared" si="0"/>
        <v>0</v>
      </c>
      <c r="U22" s="49">
        <f t="shared" si="3"/>
        <v>0</v>
      </c>
      <c r="V22" s="49">
        <f t="shared" si="4"/>
        <v>0</v>
      </c>
      <c r="W22" s="49">
        <f t="shared" si="5"/>
        <v>0</v>
      </c>
      <c r="X22" s="143">
        <f>IFERROR(SUM(T22:W24)/COUNTIF(H22:H24,"&lt;&gt;Nicht anwendbar"),"n.a.")</f>
        <v>0</v>
      </c>
      <c r="Y22" s="48">
        <f>IF(Y19=1,X22,0)</f>
        <v>0</v>
      </c>
    </row>
    <row r="23" spans="2:33" ht="40" customHeight="1" thickBot="1" x14ac:dyDescent="0.3">
      <c r="B23" s="323"/>
      <c r="C23" s="330" t="s">
        <v>457</v>
      </c>
      <c r="D23" s="330"/>
      <c r="E23" s="330"/>
      <c r="F23" s="307"/>
      <c r="G23" s="307"/>
      <c r="H23" s="366" t="s">
        <v>42</v>
      </c>
      <c r="I23" s="366"/>
      <c r="J23" s="286"/>
      <c r="K23" s="286"/>
      <c r="L23" s="286"/>
      <c r="M23" s="286"/>
      <c r="N23" s="339"/>
      <c r="O23" s="339"/>
      <c r="P23" s="339"/>
      <c r="Q23" s="339"/>
      <c r="S23" s="49">
        <f t="shared" si="2"/>
        <v>0</v>
      </c>
      <c r="T23" s="49">
        <f t="shared" si="0"/>
        <v>0</v>
      </c>
      <c r="U23" s="49">
        <f t="shared" si="3"/>
        <v>0</v>
      </c>
      <c r="V23" s="49">
        <f t="shared" si="4"/>
        <v>0</v>
      </c>
      <c r="W23" s="49">
        <f t="shared" si="5"/>
        <v>0</v>
      </c>
      <c r="X23" s="49"/>
    </row>
    <row r="24" spans="2:33" ht="40" customHeight="1" thickBot="1" x14ac:dyDescent="0.3">
      <c r="B24" s="323"/>
      <c r="C24" s="350" t="s">
        <v>458</v>
      </c>
      <c r="D24" s="350"/>
      <c r="E24" s="350"/>
      <c r="F24" s="308"/>
      <c r="G24" s="308"/>
      <c r="H24" s="340" t="s">
        <v>42</v>
      </c>
      <c r="I24" s="340"/>
      <c r="J24" s="275"/>
      <c r="K24" s="275"/>
      <c r="L24" s="275"/>
      <c r="M24" s="275"/>
      <c r="N24" s="339"/>
      <c r="O24" s="339"/>
      <c r="P24" s="339"/>
      <c r="Q24" s="339"/>
      <c r="S24" s="149">
        <f t="shared" si="2"/>
        <v>0</v>
      </c>
      <c r="T24" s="149">
        <f t="shared" si="0"/>
        <v>0</v>
      </c>
      <c r="U24" s="149">
        <f t="shared" si="3"/>
        <v>0</v>
      </c>
      <c r="V24" s="149">
        <f t="shared" si="4"/>
        <v>0</v>
      </c>
      <c r="W24" s="149">
        <f t="shared" si="5"/>
        <v>0</v>
      </c>
      <c r="X24" s="149"/>
    </row>
    <row r="25" spans="2:33" ht="40" customHeight="1" thickBot="1" x14ac:dyDescent="0.3">
      <c r="B25" s="325">
        <v>5</v>
      </c>
      <c r="C25" s="343" t="s">
        <v>459</v>
      </c>
      <c r="D25" s="343"/>
      <c r="E25" s="343"/>
      <c r="F25" s="361" t="s">
        <v>465</v>
      </c>
      <c r="G25" s="362"/>
      <c r="H25" s="365" t="s">
        <v>42</v>
      </c>
      <c r="I25" s="365"/>
      <c r="J25" s="351" t="s">
        <v>951</v>
      </c>
      <c r="K25" s="352"/>
      <c r="L25" s="352"/>
      <c r="M25" s="352"/>
      <c r="N25" s="272"/>
      <c r="O25" s="272"/>
      <c r="P25" s="272"/>
      <c r="Q25" s="272"/>
      <c r="S25" s="157">
        <f t="shared" si="2"/>
        <v>0</v>
      </c>
      <c r="T25" s="157">
        <f t="shared" si="0"/>
        <v>0</v>
      </c>
      <c r="U25" s="157">
        <f t="shared" si="3"/>
        <v>0</v>
      </c>
      <c r="V25" s="157">
        <f t="shared" si="4"/>
        <v>0</v>
      </c>
      <c r="W25" s="157">
        <f t="shared" si="5"/>
        <v>0</v>
      </c>
      <c r="X25" s="143">
        <f>IFERROR(SUM(T25:W27)/COUNTIF(H25:H27,"&lt;&gt;Nicht anwendbar"),"n.a.")</f>
        <v>0</v>
      </c>
      <c r="Y25" s="48">
        <f>IF(Y22=1,X25,0)</f>
        <v>0</v>
      </c>
    </row>
    <row r="26" spans="2:33" ht="40" customHeight="1" thickBot="1" x14ac:dyDescent="0.3">
      <c r="B26" s="323"/>
      <c r="C26" s="330" t="s">
        <v>460</v>
      </c>
      <c r="D26" s="330"/>
      <c r="E26" s="330"/>
      <c r="F26" s="350"/>
      <c r="G26" s="307"/>
      <c r="H26" s="366" t="s">
        <v>42</v>
      </c>
      <c r="I26" s="366"/>
      <c r="J26" s="286"/>
      <c r="K26" s="286"/>
      <c r="L26" s="286"/>
      <c r="M26" s="286"/>
      <c r="N26" s="339"/>
      <c r="O26" s="339"/>
      <c r="P26" s="339"/>
      <c r="Q26" s="339"/>
      <c r="S26" s="49">
        <f t="shared" si="2"/>
        <v>0</v>
      </c>
      <c r="T26" s="49">
        <f t="shared" ref="T26" si="6">IF(H26="Vollständig",1,IF(H26="Nicht anwendbar",1,0))</f>
        <v>0</v>
      </c>
      <c r="U26" s="49">
        <f t="shared" ref="U26" si="7">IF(H26="In den meisten Fällen",0.75,0)</f>
        <v>0</v>
      </c>
      <c r="V26" s="49">
        <f t="shared" ref="V26" si="8">IF(H26="In ein Paar Fällen",0.5,0)</f>
        <v>0</v>
      </c>
      <c r="W26" s="49">
        <f t="shared" ref="W26" si="9">IF(H26="Gar nicht",0,0)</f>
        <v>0</v>
      </c>
      <c r="X26" s="49"/>
    </row>
    <row r="27" spans="2:33" ht="40" customHeight="1" thickBot="1" x14ac:dyDescent="0.3">
      <c r="B27" s="326"/>
      <c r="C27" s="392" t="s">
        <v>1014</v>
      </c>
      <c r="D27" s="392"/>
      <c r="E27" s="392"/>
      <c r="F27" s="308"/>
      <c r="G27" s="308"/>
      <c r="H27" s="340" t="s">
        <v>42</v>
      </c>
      <c r="I27" s="340"/>
      <c r="J27" s="275"/>
      <c r="K27" s="275"/>
      <c r="L27" s="275"/>
      <c r="M27" s="275"/>
      <c r="N27" s="309"/>
      <c r="O27" s="309"/>
      <c r="P27" s="309"/>
      <c r="Q27" s="309"/>
      <c r="S27" s="149">
        <f t="shared" si="2"/>
        <v>0</v>
      </c>
      <c r="T27" s="149">
        <f t="shared" si="0"/>
        <v>0</v>
      </c>
      <c r="U27" s="149">
        <f t="shared" si="3"/>
        <v>0</v>
      </c>
      <c r="V27" s="149">
        <f t="shared" si="4"/>
        <v>0</v>
      </c>
      <c r="W27" s="149">
        <f t="shared" si="5"/>
        <v>0</v>
      </c>
      <c r="X27" s="149"/>
    </row>
  </sheetData>
  <sheetProtection formatCells="0"/>
  <protectedRanges>
    <protectedRange sqref="N31:Q32" name="Bereich1"/>
    <protectedRange sqref="N19:Q19 N25:Q25 N22:Q22" name="Bereich1_1"/>
  </protectedRanges>
  <mergeCells count="62">
    <mergeCell ref="B22:B24"/>
    <mergeCell ref="C22:E22"/>
    <mergeCell ref="H22:I22"/>
    <mergeCell ref="C23:E23"/>
    <mergeCell ref="H23:I23"/>
    <mergeCell ref="C24:E24"/>
    <mergeCell ref="H24:I24"/>
    <mergeCell ref="F22:G24"/>
    <mergeCell ref="B25:B27"/>
    <mergeCell ref="C25:E25"/>
    <mergeCell ref="H25:I25"/>
    <mergeCell ref="C27:E27"/>
    <mergeCell ref="H27:I27"/>
    <mergeCell ref="C26:E26"/>
    <mergeCell ref="H26:I26"/>
    <mergeCell ref="F25:G27"/>
    <mergeCell ref="B19:B21"/>
    <mergeCell ref="C19:E19"/>
    <mergeCell ref="H19:I19"/>
    <mergeCell ref="C20:E20"/>
    <mergeCell ref="H20:I20"/>
    <mergeCell ref="C21:E21"/>
    <mergeCell ref="H21:I21"/>
    <mergeCell ref="F19:G21"/>
    <mergeCell ref="H16:I16"/>
    <mergeCell ref="J16:M16"/>
    <mergeCell ref="B17:B18"/>
    <mergeCell ref="C17:E17"/>
    <mergeCell ref="H17:I17"/>
    <mergeCell ref="C18:E18"/>
    <mergeCell ref="H18:I18"/>
    <mergeCell ref="F17:G18"/>
    <mergeCell ref="J17:M18"/>
    <mergeCell ref="J19:M21"/>
    <mergeCell ref="J22:M24"/>
    <mergeCell ref="J25:M27"/>
    <mergeCell ref="B15:M15"/>
    <mergeCell ref="B4:M4"/>
    <mergeCell ref="C6:G6"/>
    <mergeCell ref="C7:M7"/>
    <mergeCell ref="C8:M8"/>
    <mergeCell ref="C9:M9"/>
    <mergeCell ref="C10:M10"/>
    <mergeCell ref="C14:E14"/>
    <mergeCell ref="F14:G14"/>
    <mergeCell ref="H14:I14"/>
    <mergeCell ref="J14:M14"/>
    <mergeCell ref="C16:E16"/>
    <mergeCell ref="F16:G16"/>
    <mergeCell ref="N14:Q14"/>
    <mergeCell ref="N16:Q16"/>
    <mergeCell ref="N17:Q17"/>
    <mergeCell ref="N18:Q18"/>
    <mergeCell ref="N19:Q19"/>
    <mergeCell ref="N25:Q25"/>
    <mergeCell ref="N26:Q26"/>
    <mergeCell ref="N27:Q27"/>
    <mergeCell ref="N20:Q20"/>
    <mergeCell ref="N21:Q21"/>
    <mergeCell ref="N22:Q22"/>
    <mergeCell ref="N23:Q23"/>
    <mergeCell ref="N24:Q24"/>
  </mergeCells>
  <conditionalFormatting sqref="H16:I25 H27:I27">
    <cfRule type="containsText" dxfId="42" priority="2" operator="containsText" text="Bitte auswählen">
      <formula>NOT(ISERROR(SEARCH("Bitte auswählen",H16)))</formula>
    </cfRule>
  </conditionalFormatting>
  <conditionalFormatting sqref="H26:I26">
    <cfRule type="containsText" dxfId="41" priority="1" operator="containsText" text="Bitte auswählen">
      <formula>NOT(ISERROR(SEARCH("Bitte auswählen",H26)))</formula>
    </cfRule>
  </conditionalFormatting>
  <dataValidations xWindow="777" yWindow="387" count="2">
    <dataValidation allowBlank="1" showInputMessage="1" showErrorMessage="1" promptTitle="[+] Klicken" prompt="Hier können Sie sich erweiterte Informationen zu dem Prozess anzeigen lassen." sqref="A11" xr:uid="{00000000-0002-0000-1200-000000000000}"/>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DED79032-62AC-4A9A-9F6E-F83EF88D634C}"/>
  </dataValidations>
  <hyperlinks>
    <hyperlink ref="C27:E27" location="Glossar!A1" display="Erfolgt eine unternehmensweite Harmonisierung mit anderen Systemen (z. B. PLM, ERP, DMS) zur ganzheitlichen Archivverwaltung?" xr:uid="{49313F95-E642-4DFF-A69A-9D39FDE9C589}"/>
  </hyperlink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777" yWindow="387" count="1">
        <x14:dataValidation type="list" allowBlank="1" showInputMessage="1" showErrorMessage="1" xr:uid="{00000000-0002-0000-1200-000001000000}">
          <x14:formula1>
            <xm:f>Data!$I$3:$I$8</xm:f>
          </x14:formula1>
          <xm:sqref>H16:I27</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3805B-F8CE-4C75-BBB6-72DCC85D23F0}">
  <sheetPr>
    <tabColor rgb="FF333399"/>
    <pageSetUpPr fitToPage="1"/>
  </sheetPr>
  <dimension ref="B4:AG28"/>
  <sheetViews>
    <sheetView showGridLines="0" zoomScale="90" zoomScaleNormal="90" zoomScalePageLayoutView="85" workbookViewId="0"/>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68.54296875" style="48" hidden="1" customWidth="1" outlineLevel="1"/>
    <col min="7" max="7" width="26.453125" style="48" hidden="1" customWidth="1" outlineLevel="1"/>
    <col min="8" max="8" width="11.453125" style="48" collapsed="1"/>
    <col min="9" max="10" width="11.453125" style="48"/>
    <col min="11" max="11" width="13.26953125" style="48" customWidth="1"/>
    <col min="12" max="12" width="11.453125" style="48"/>
    <col min="13" max="13" width="17.453125" style="48" customWidth="1"/>
    <col min="14" max="14" width="11.453125" style="48"/>
    <col min="15" max="15" width="13.26953125" style="48" customWidth="1"/>
    <col min="16" max="16" width="11.453125" style="48"/>
    <col min="17" max="17" width="24.81640625" style="48" customWidth="1"/>
    <col min="18" max="18" width="11.453125" style="49"/>
    <col min="19" max="24" width="11.453125" style="48" customWidth="1"/>
    <col min="25" max="25" width="14" style="48" customWidth="1"/>
    <col min="26" max="32" width="11.453125" style="48" customWidth="1"/>
    <col min="33" max="33" width="11.453125" style="48" hidden="1" customWidth="1"/>
    <col min="34" max="16384" width="11.453125" style="48"/>
  </cols>
  <sheetData>
    <row r="4" spans="2:33" ht="14" x14ac:dyDescent="0.3">
      <c r="B4" s="290" t="s">
        <v>39</v>
      </c>
      <c r="C4" s="290"/>
      <c r="D4" s="290"/>
      <c r="E4" s="290"/>
      <c r="F4" s="290"/>
      <c r="G4" s="290"/>
      <c r="H4" s="290"/>
      <c r="I4" s="290"/>
      <c r="J4" s="290"/>
      <c r="K4" s="290"/>
      <c r="L4" s="290"/>
      <c r="M4" s="290"/>
      <c r="N4" s="216"/>
      <c r="O4" s="216"/>
      <c r="P4" s="216"/>
      <c r="Q4" s="216"/>
    </row>
    <row r="5" spans="2:33" ht="9" customHeight="1" x14ac:dyDescent="0.25"/>
    <row r="6" spans="2:33" ht="32.25" customHeight="1" thickBot="1" x14ac:dyDescent="0.3">
      <c r="B6" s="162" t="s">
        <v>111</v>
      </c>
      <c r="C6" s="293" t="s">
        <v>167</v>
      </c>
      <c r="D6" s="293"/>
      <c r="E6" s="293"/>
      <c r="F6" s="293"/>
      <c r="G6" s="293"/>
      <c r="H6" s="53"/>
      <c r="I6" s="53"/>
      <c r="J6" s="53"/>
      <c r="K6" s="53" t="s">
        <v>36</v>
      </c>
      <c r="L6" s="55">
        <f>ROUNDDOWN(Z16/0.25,0)*0.25</f>
        <v>0</v>
      </c>
      <c r="M6" s="54" t="str">
        <f>IF(L6&lt;1,"Unvollständig",IF(L6&lt;2,"Initial",IF(L6&lt;3,"Gemanagt",IF(L6&lt;4,"Definiert",IF(L6&lt;5,"Quantitativ gemanagt",IF(L6&lt;6,"Optimiert","Ausstehend"))))))</f>
        <v>Unvollständig</v>
      </c>
      <c r="N6" s="53"/>
      <c r="O6" s="53"/>
      <c r="P6" s="55"/>
      <c r="Q6" s="54"/>
    </row>
    <row r="7" spans="2:33" ht="35.25" hidden="1" customHeight="1" outlineLevel="1" x14ac:dyDescent="0.25">
      <c r="B7" s="76" t="s">
        <v>211</v>
      </c>
      <c r="C7" s="294" t="s">
        <v>466</v>
      </c>
      <c r="D7" s="295"/>
      <c r="E7" s="295"/>
      <c r="F7" s="295"/>
      <c r="G7" s="295"/>
      <c r="H7" s="295"/>
      <c r="I7" s="295"/>
      <c r="J7" s="295"/>
      <c r="K7" s="295"/>
      <c r="L7" s="295"/>
      <c r="M7" s="296"/>
      <c r="N7" s="218"/>
      <c r="O7" s="218"/>
      <c r="P7" s="218"/>
      <c r="Q7" s="218"/>
    </row>
    <row r="8" spans="2:33" ht="70.5" hidden="1" customHeight="1" outlineLevel="1" x14ac:dyDescent="0.25">
      <c r="B8" s="51" t="s">
        <v>212</v>
      </c>
      <c r="C8" s="297" t="s">
        <v>799</v>
      </c>
      <c r="D8" s="298"/>
      <c r="E8" s="298"/>
      <c r="F8" s="298"/>
      <c r="G8" s="298"/>
      <c r="H8" s="298"/>
      <c r="I8" s="298"/>
      <c r="J8" s="298"/>
      <c r="K8" s="298"/>
      <c r="L8" s="298"/>
      <c r="M8" s="299"/>
      <c r="N8" s="217"/>
      <c r="O8" s="217"/>
      <c r="P8" s="217"/>
      <c r="Q8" s="217"/>
    </row>
    <row r="9" spans="2:33" ht="75" hidden="1" customHeight="1" outlineLevel="1" x14ac:dyDescent="0.25">
      <c r="B9" s="51" t="s">
        <v>30</v>
      </c>
      <c r="C9" s="300" t="s">
        <v>467</v>
      </c>
      <c r="D9" s="301"/>
      <c r="E9" s="301"/>
      <c r="F9" s="301"/>
      <c r="G9" s="301"/>
      <c r="H9" s="301"/>
      <c r="I9" s="301"/>
      <c r="J9" s="301"/>
      <c r="K9" s="301"/>
      <c r="L9" s="301"/>
      <c r="M9" s="302"/>
      <c r="N9" s="218"/>
      <c r="O9" s="218"/>
      <c r="P9" s="218"/>
      <c r="Q9" s="218"/>
    </row>
    <row r="10" spans="2:33" ht="65.25" hidden="1" customHeight="1" outlineLevel="1" x14ac:dyDescent="0.25">
      <c r="B10" s="51" t="s">
        <v>31</v>
      </c>
      <c r="C10" s="300" t="s">
        <v>468</v>
      </c>
      <c r="D10" s="301"/>
      <c r="E10" s="301"/>
      <c r="F10" s="301"/>
      <c r="G10" s="301"/>
      <c r="H10" s="301"/>
      <c r="I10" s="301"/>
      <c r="J10" s="301"/>
      <c r="K10" s="301"/>
      <c r="L10" s="301"/>
      <c r="M10" s="302"/>
      <c r="N10" s="218"/>
      <c r="O10" s="218"/>
      <c r="P10" s="218"/>
      <c r="Q10" s="218"/>
    </row>
    <row r="11" spans="2:33" collapsed="1" x14ac:dyDescent="0.25"/>
    <row r="12" spans="2:33" ht="13" x14ac:dyDescent="0.3">
      <c r="B12" s="50" t="s">
        <v>33</v>
      </c>
      <c r="C12" s="49"/>
    </row>
    <row r="13" spans="2:33" ht="6.75" customHeight="1" x14ac:dyDescent="0.25"/>
    <row r="14" spans="2:33" ht="21.75" customHeight="1" x14ac:dyDescent="0.25">
      <c r="B14" s="52" t="s">
        <v>34</v>
      </c>
      <c r="C14" s="353" t="s">
        <v>37</v>
      </c>
      <c r="D14" s="354"/>
      <c r="E14" s="355"/>
      <c r="F14" s="341" t="s">
        <v>67</v>
      </c>
      <c r="G14" s="356"/>
      <c r="H14" s="341" t="s">
        <v>3</v>
      </c>
      <c r="I14" s="356"/>
      <c r="J14" s="341" t="s">
        <v>886</v>
      </c>
      <c r="K14" s="342"/>
      <c r="L14" s="342"/>
      <c r="M14" s="342"/>
      <c r="N14" s="341" t="s">
        <v>38</v>
      </c>
      <c r="O14" s="342"/>
      <c r="P14" s="342"/>
      <c r="Q14" s="342"/>
      <c r="S14" s="149"/>
      <c r="T14" s="149" t="s">
        <v>35</v>
      </c>
      <c r="U14" s="149"/>
      <c r="V14" s="149"/>
      <c r="W14" s="149"/>
      <c r="X14" s="149"/>
      <c r="Y14" s="149" t="s">
        <v>45</v>
      </c>
      <c r="Z14" s="149" t="s">
        <v>44</v>
      </c>
    </row>
    <row r="15" spans="2:33" ht="1.5" customHeight="1" x14ac:dyDescent="0.3">
      <c r="B15" s="314"/>
      <c r="C15" s="314"/>
      <c r="D15" s="314"/>
      <c r="E15" s="314"/>
      <c r="F15" s="314"/>
      <c r="G15" s="314"/>
      <c r="H15" s="314"/>
      <c r="I15" s="314"/>
      <c r="J15" s="314"/>
      <c r="K15" s="314"/>
      <c r="L15" s="314"/>
      <c r="M15" s="314"/>
      <c r="N15" s="219"/>
      <c r="O15" s="219"/>
      <c r="P15" s="219"/>
      <c r="Q15" s="219"/>
    </row>
    <row r="16" spans="2:33" ht="40" customHeight="1" thickBot="1" x14ac:dyDescent="0.35">
      <c r="B16" s="182">
        <v>1</v>
      </c>
      <c r="C16" s="310" t="s">
        <v>1139</v>
      </c>
      <c r="D16" s="310"/>
      <c r="E16" s="310"/>
      <c r="F16" s="310" t="s">
        <v>469</v>
      </c>
      <c r="G16" s="310"/>
      <c r="H16" s="340" t="s">
        <v>42</v>
      </c>
      <c r="I16" s="340"/>
      <c r="J16" s="340" t="s">
        <v>29</v>
      </c>
      <c r="K16" s="340"/>
      <c r="L16" s="340"/>
      <c r="M16" s="340"/>
      <c r="N16" s="340"/>
      <c r="O16" s="340"/>
      <c r="P16" s="340"/>
      <c r="Q16" s="340"/>
      <c r="S16" s="74">
        <f>IF(H16="Nicht anwendbar","n.a.",0)</f>
        <v>0</v>
      </c>
      <c r="T16" s="75">
        <f>IF(H16="Vollständig",1,0)</f>
        <v>0</v>
      </c>
      <c r="U16" s="75">
        <f>IF(H16="In den meisten Fällen",0.75,0)</f>
        <v>0</v>
      </c>
      <c r="V16" s="75">
        <f>IF(H16="In ein Paar Fällen",0.5,0)</f>
        <v>0</v>
      </c>
      <c r="W16" s="75">
        <f>IF(H16="Gar nicht",0,0)</f>
        <v>0</v>
      </c>
      <c r="X16" s="75">
        <f>IF(S16&gt;0,"n.a.",SUM(S16:W16))</f>
        <v>0</v>
      </c>
      <c r="Y16" s="48">
        <f>X16</f>
        <v>0</v>
      </c>
      <c r="Z16" s="48">
        <f>IF(Y16&lt;&gt;"n.a.",SUM(Y16,Y17,Y19,Y23,Y27),NA())</f>
        <v>0</v>
      </c>
      <c r="AG16" s="49" t="str">
        <f t="shared" ref="AG16:AG18" si="0">IF(X16&gt;0.5,"Umgesetzt","Nicht umgesetzt")</f>
        <v>Nicht umgesetzt</v>
      </c>
    </row>
    <row r="17" spans="2:33" ht="40" customHeight="1" thickBot="1" x14ac:dyDescent="0.3">
      <c r="B17" s="325">
        <v>2</v>
      </c>
      <c r="C17" s="343" t="s">
        <v>480</v>
      </c>
      <c r="D17" s="343"/>
      <c r="E17" s="343"/>
      <c r="F17" s="361" t="s">
        <v>481</v>
      </c>
      <c r="G17" s="362"/>
      <c r="H17" s="365" t="s">
        <v>42</v>
      </c>
      <c r="I17" s="365"/>
      <c r="J17" s="351" t="s">
        <v>952</v>
      </c>
      <c r="K17" s="352"/>
      <c r="L17" s="352"/>
      <c r="M17" s="352"/>
      <c r="N17" s="339"/>
      <c r="O17" s="339"/>
      <c r="P17" s="339"/>
      <c r="Q17" s="339"/>
      <c r="S17" s="49">
        <f t="shared" ref="S17:S28" si="1">IF(H17="Nicht anwendbar","n.a.",0)</f>
        <v>0</v>
      </c>
      <c r="T17" s="49">
        <f t="shared" ref="T17:T28" si="2">IF(H17="Vollständig",1,0)</f>
        <v>0</v>
      </c>
      <c r="U17" s="49">
        <f>IF(H17="In den meisten Fällen",0.75,0)</f>
        <v>0</v>
      </c>
      <c r="V17" s="49">
        <f>IF(H17="In ein Paar Fällen",0.5,0)</f>
        <v>0</v>
      </c>
      <c r="W17" s="49">
        <f>IF(H17="Gar nicht",0,0)</f>
        <v>0</v>
      </c>
      <c r="X17" s="143">
        <f>IFERROR(SUM(T17:W18)/COUNTIF(H17:H18,"&lt;&gt;Nicht anwendbar"),"n.a.")</f>
        <v>0</v>
      </c>
      <c r="Y17" s="48">
        <f>IF(X16=1,X17,0)</f>
        <v>0</v>
      </c>
      <c r="AG17" s="49" t="str">
        <f t="shared" si="0"/>
        <v>Nicht umgesetzt</v>
      </c>
    </row>
    <row r="18" spans="2:33" ht="40" customHeight="1" thickBot="1" x14ac:dyDescent="0.3">
      <c r="B18" s="326"/>
      <c r="C18" s="308" t="s">
        <v>470</v>
      </c>
      <c r="D18" s="308"/>
      <c r="E18" s="308"/>
      <c r="F18" s="308"/>
      <c r="G18" s="308"/>
      <c r="H18" s="340" t="s">
        <v>42</v>
      </c>
      <c r="I18" s="340"/>
      <c r="J18" s="275"/>
      <c r="K18" s="275"/>
      <c r="L18" s="275"/>
      <c r="M18" s="275"/>
      <c r="N18" s="339"/>
      <c r="O18" s="339"/>
      <c r="P18" s="339"/>
      <c r="Q18" s="339"/>
      <c r="S18" s="75">
        <f t="shared" si="1"/>
        <v>0</v>
      </c>
      <c r="T18" s="75">
        <f t="shared" si="2"/>
        <v>0</v>
      </c>
      <c r="U18" s="75">
        <f t="shared" ref="U18:U28" si="3">IF(H18="In den meisten Fällen",0.75,0)</f>
        <v>0</v>
      </c>
      <c r="V18" s="75">
        <f t="shared" ref="V18:V28" si="4">IF(H18="In ein Paar Fällen",0.5,0)</f>
        <v>0</v>
      </c>
      <c r="W18" s="75">
        <f t="shared" ref="W18:W28" si="5">IF(H18="Gar nicht",0,0)</f>
        <v>0</v>
      </c>
      <c r="X18" s="75"/>
      <c r="AG18" s="49" t="str">
        <f t="shared" si="0"/>
        <v>Nicht umgesetzt</v>
      </c>
    </row>
    <row r="19" spans="2:33" ht="40" customHeight="1" thickBot="1" x14ac:dyDescent="0.3">
      <c r="B19" s="325">
        <v>3</v>
      </c>
      <c r="C19" s="344" t="s">
        <v>471</v>
      </c>
      <c r="D19" s="345"/>
      <c r="E19" s="345"/>
      <c r="F19" s="370" t="s">
        <v>482</v>
      </c>
      <c r="G19" s="371"/>
      <c r="H19" s="365" t="s">
        <v>42</v>
      </c>
      <c r="I19" s="365"/>
      <c r="J19" s="357" t="s">
        <v>953</v>
      </c>
      <c r="K19" s="358"/>
      <c r="L19" s="358"/>
      <c r="M19" s="358"/>
      <c r="N19" s="272"/>
      <c r="O19" s="272"/>
      <c r="P19" s="272"/>
      <c r="Q19" s="272"/>
      <c r="S19" s="48">
        <f t="shared" si="1"/>
        <v>0</v>
      </c>
      <c r="T19" s="49">
        <f t="shared" si="2"/>
        <v>0</v>
      </c>
      <c r="U19" s="49">
        <f t="shared" si="3"/>
        <v>0</v>
      </c>
      <c r="V19" s="49">
        <f t="shared" si="4"/>
        <v>0</v>
      </c>
      <c r="W19" s="49">
        <f t="shared" si="5"/>
        <v>0</v>
      </c>
      <c r="X19" s="143">
        <f>IFERROR(SUM(T19:W22)/COUNTIF(H19:H22,"&lt;&gt;Nicht anwendbar"),"n.a.")</f>
        <v>0</v>
      </c>
      <c r="Y19" s="48">
        <f>IF(Y17=1,X19,0)</f>
        <v>0</v>
      </c>
    </row>
    <row r="20" spans="2:33" ht="40" customHeight="1" thickBot="1" x14ac:dyDescent="0.3">
      <c r="B20" s="323"/>
      <c r="C20" s="330" t="s">
        <v>474</v>
      </c>
      <c r="D20" s="330"/>
      <c r="E20" s="330"/>
      <c r="F20" s="337"/>
      <c r="G20" s="337"/>
      <c r="H20" s="366" t="s">
        <v>42</v>
      </c>
      <c r="I20" s="366"/>
      <c r="J20" s="282"/>
      <c r="K20" s="282"/>
      <c r="L20" s="282"/>
      <c r="M20" s="282"/>
      <c r="N20" s="339"/>
      <c r="O20" s="339"/>
      <c r="P20" s="339"/>
      <c r="Q20" s="339"/>
      <c r="S20" s="48">
        <f t="shared" si="1"/>
        <v>0</v>
      </c>
      <c r="T20" s="49">
        <f t="shared" si="2"/>
        <v>0</v>
      </c>
      <c r="U20" s="49">
        <f t="shared" si="3"/>
        <v>0</v>
      </c>
      <c r="V20" s="49">
        <f t="shared" si="4"/>
        <v>0</v>
      </c>
      <c r="W20" s="49">
        <f t="shared" si="5"/>
        <v>0</v>
      </c>
    </row>
    <row r="21" spans="2:33" ht="40" customHeight="1" thickBot="1" x14ac:dyDescent="0.3">
      <c r="B21" s="323"/>
      <c r="C21" s="347" t="s">
        <v>472</v>
      </c>
      <c r="D21" s="348"/>
      <c r="E21" s="348"/>
      <c r="F21" s="337"/>
      <c r="G21" s="337"/>
      <c r="H21" s="366" t="s">
        <v>42</v>
      </c>
      <c r="I21" s="366"/>
      <c r="J21" s="282"/>
      <c r="K21" s="282"/>
      <c r="L21" s="282"/>
      <c r="M21" s="282"/>
      <c r="N21" s="339"/>
      <c r="O21" s="339"/>
      <c r="P21" s="339"/>
      <c r="Q21" s="339"/>
      <c r="S21" s="48">
        <f t="shared" si="1"/>
        <v>0</v>
      </c>
      <c r="T21" s="49">
        <f t="shared" si="2"/>
        <v>0</v>
      </c>
      <c r="U21" s="49">
        <f t="shared" si="3"/>
        <v>0</v>
      </c>
      <c r="V21" s="49">
        <f t="shared" si="4"/>
        <v>0</v>
      </c>
      <c r="W21" s="49">
        <f t="shared" si="5"/>
        <v>0</v>
      </c>
    </row>
    <row r="22" spans="2:33" ht="40" customHeight="1" thickBot="1" x14ac:dyDescent="0.3">
      <c r="B22" s="326"/>
      <c r="C22" s="368" t="s">
        <v>473</v>
      </c>
      <c r="D22" s="368"/>
      <c r="E22" s="368"/>
      <c r="F22" s="386"/>
      <c r="G22" s="386"/>
      <c r="H22" s="340" t="s">
        <v>42</v>
      </c>
      <c r="I22" s="340"/>
      <c r="J22" s="270"/>
      <c r="K22" s="270"/>
      <c r="L22" s="270"/>
      <c r="M22" s="270"/>
      <c r="N22" s="339"/>
      <c r="O22" s="339"/>
      <c r="P22" s="339"/>
      <c r="Q22" s="339"/>
      <c r="S22" s="75">
        <f t="shared" si="1"/>
        <v>0</v>
      </c>
      <c r="T22" s="75">
        <f t="shared" si="2"/>
        <v>0</v>
      </c>
      <c r="U22" s="75">
        <f t="shared" si="3"/>
        <v>0</v>
      </c>
      <c r="V22" s="75">
        <f t="shared" si="4"/>
        <v>0</v>
      </c>
      <c r="W22" s="75">
        <f t="shared" si="5"/>
        <v>0</v>
      </c>
      <c r="X22" s="75"/>
    </row>
    <row r="23" spans="2:33" ht="40" customHeight="1" thickBot="1" x14ac:dyDescent="0.3">
      <c r="B23" s="325">
        <v>4</v>
      </c>
      <c r="C23" s="343" t="s">
        <v>475</v>
      </c>
      <c r="D23" s="343"/>
      <c r="E23" s="343"/>
      <c r="F23" s="361" t="s">
        <v>483</v>
      </c>
      <c r="G23" s="362"/>
      <c r="H23" s="365" t="s">
        <v>42</v>
      </c>
      <c r="I23" s="365"/>
      <c r="J23" s="352" t="s">
        <v>1123</v>
      </c>
      <c r="K23" s="352"/>
      <c r="L23" s="352"/>
      <c r="M23" s="352"/>
      <c r="N23" s="272"/>
      <c r="O23" s="272"/>
      <c r="P23" s="272"/>
      <c r="Q23" s="272"/>
      <c r="S23" s="49">
        <f t="shared" si="1"/>
        <v>0</v>
      </c>
      <c r="T23" s="49">
        <f t="shared" si="2"/>
        <v>0</v>
      </c>
      <c r="U23" s="49">
        <f t="shared" si="3"/>
        <v>0</v>
      </c>
      <c r="V23" s="49">
        <f t="shared" si="4"/>
        <v>0</v>
      </c>
      <c r="W23" s="49">
        <f t="shared" si="5"/>
        <v>0</v>
      </c>
      <c r="X23" s="143">
        <f>IFERROR(SUM(T23:W26)/COUNTIF(H23:H26,"&lt;&gt;Nicht anwendbar"),"n.a.")</f>
        <v>0</v>
      </c>
      <c r="Y23" s="48">
        <f>IF(Y19=1,X23,0)</f>
        <v>0</v>
      </c>
    </row>
    <row r="24" spans="2:33" ht="40" customHeight="1" thickBot="1" x14ac:dyDescent="0.3">
      <c r="B24" s="323"/>
      <c r="C24" s="330" t="s">
        <v>476</v>
      </c>
      <c r="D24" s="330"/>
      <c r="E24" s="330"/>
      <c r="F24" s="307"/>
      <c r="G24" s="307"/>
      <c r="H24" s="366" t="s">
        <v>42</v>
      </c>
      <c r="I24" s="366"/>
      <c r="J24" s="286"/>
      <c r="K24" s="286"/>
      <c r="L24" s="286"/>
      <c r="M24" s="286"/>
      <c r="N24" s="339"/>
      <c r="O24" s="339"/>
      <c r="P24" s="339"/>
      <c r="Q24" s="339"/>
      <c r="S24" s="49">
        <f t="shared" si="1"/>
        <v>0</v>
      </c>
      <c r="T24" s="49">
        <f t="shared" si="2"/>
        <v>0</v>
      </c>
      <c r="U24" s="49">
        <f t="shared" si="3"/>
        <v>0</v>
      </c>
      <c r="V24" s="49">
        <f t="shared" si="4"/>
        <v>0</v>
      </c>
      <c r="W24" s="49">
        <f t="shared" si="5"/>
        <v>0</v>
      </c>
      <c r="X24" s="49"/>
    </row>
    <row r="25" spans="2:33" ht="40" customHeight="1" thickBot="1" x14ac:dyDescent="0.3">
      <c r="B25" s="323"/>
      <c r="C25" s="330" t="s">
        <v>477</v>
      </c>
      <c r="D25" s="330"/>
      <c r="E25" s="330"/>
      <c r="F25" s="307"/>
      <c r="G25" s="307"/>
      <c r="H25" s="366" t="s">
        <v>42</v>
      </c>
      <c r="I25" s="366"/>
      <c r="J25" s="286"/>
      <c r="K25" s="286"/>
      <c r="L25" s="286"/>
      <c r="M25" s="286"/>
      <c r="N25" s="339"/>
      <c r="O25" s="339"/>
      <c r="P25" s="339"/>
      <c r="Q25" s="339"/>
      <c r="S25" s="49">
        <f t="shared" si="1"/>
        <v>0</v>
      </c>
      <c r="T25" s="49">
        <f t="shared" si="2"/>
        <v>0</v>
      </c>
      <c r="U25" s="49">
        <f t="shared" si="3"/>
        <v>0</v>
      </c>
      <c r="V25" s="49">
        <f t="shared" si="4"/>
        <v>0</v>
      </c>
      <c r="W25" s="49">
        <f t="shared" si="5"/>
        <v>0</v>
      </c>
      <c r="X25" s="49"/>
    </row>
    <row r="26" spans="2:33" ht="40" customHeight="1" thickBot="1" x14ac:dyDescent="0.3">
      <c r="B26" s="323"/>
      <c r="C26" s="350" t="s">
        <v>478</v>
      </c>
      <c r="D26" s="350"/>
      <c r="E26" s="350"/>
      <c r="F26" s="308"/>
      <c r="G26" s="308"/>
      <c r="H26" s="340" t="s">
        <v>42</v>
      </c>
      <c r="I26" s="340"/>
      <c r="J26" s="275"/>
      <c r="K26" s="275"/>
      <c r="L26" s="275"/>
      <c r="M26" s="275"/>
      <c r="N26" s="339"/>
      <c r="O26" s="339"/>
      <c r="P26" s="339"/>
      <c r="Q26" s="339"/>
      <c r="S26" s="149">
        <f t="shared" si="1"/>
        <v>0</v>
      </c>
      <c r="T26" s="149">
        <f t="shared" si="2"/>
        <v>0</v>
      </c>
      <c r="U26" s="149">
        <f t="shared" si="3"/>
        <v>0</v>
      </c>
      <c r="V26" s="149">
        <f t="shared" si="4"/>
        <v>0</v>
      </c>
      <c r="W26" s="149">
        <f t="shared" si="5"/>
        <v>0</v>
      </c>
      <c r="X26" s="149"/>
    </row>
    <row r="27" spans="2:33" ht="40" customHeight="1" thickBot="1" x14ac:dyDescent="0.3">
      <c r="B27" s="325">
        <v>5</v>
      </c>
      <c r="C27" s="393" t="s">
        <v>1022</v>
      </c>
      <c r="D27" s="393"/>
      <c r="E27" s="393"/>
      <c r="F27" s="361" t="s">
        <v>484</v>
      </c>
      <c r="G27" s="362"/>
      <c r="H27" s="365" t="s">
        <v>42</v>
      </c>
      <c r="I27" s="365"/>
      <c r="J27" s="351" t="s">
        <v>954</v>
      </c>
      <c r="K27" s="352"/>
      <c r="L27" s="352"/>
      <c r="M27" s="352"/>
      <c r="N27" s="272"/>
      <c r="O27" s="272"/>
      <c r="P27" s="272"/>
      <c r="Q27" s="272"/>
      <c r="S27" s="157">
        <f t="shared" si="1"/>
        <v>0</v>
      </c>
      <c r="T27" s="157">
        <f t="shared" si="2"/>
        <v>0</v>
      </c>
      <c r="U27" s="157">
        <f t="shared" si="3"/>
        <v>0</v>
      </c>
      <c r="V27" s="157">
        <f t="shared" si="4"/>
        <v>0</v>
      </c>
      <c r="W27" s="157">
        <f t="shared" si="5"/>
        <v>0</v>
      </c>
      <c r="X27" s="143">
        <f>IFERROR(SUM(T27:W28)/COUNTIF(H27:H28,"&lt;&gt;Nicht anwendbar"),"n.a.")</f>
        <v>0</v>
      </c>
      <c r="Y27" s="48">
        <f>IF(Y23=1,X27,0)</f>
        <v>0</v>
      </c>
    </row>
    <row r="28" spans="2:33" ht="40" customHeight="1" thickBot="1" x14ac:dyDescent="0.3">
      <c r="B28" s="326"/>
      <c r="C28" s="310" t="s">
        <v>479</v>
      </c>
      <c r="D28" s="310"/>
      <c r="E28" s="310"/>
      <c r="F28" s="308"/>
      <c r="G28" s="308"/>
      <c r="H28" s="340" t="s">
        <v>42</v>
      </c>
      <c r="I28" s="340"/>
      <c r="J28" s="275"/>
      <c r="K28" s="275"/>
      <c r="L28" s="275"/>
      <c r="M28" s="275"/>
      <c r="N28" s="309"/>
      <c r="O28" s="309"/>
      <c r="P28" s="309"/>
      <c r="Q28" s="309"/>
      <c r="S28" s="149">
        <f t="shared" si="1"/>
        <v>0</v>
      </c>
      <c r="T28" s="149">
        <f t="shared" si="2"/>
        <v>0</v>
      </c>
      <c r="U28" s="149">
        <f t="shared" si="3"/>
        <v>0</v>
      </c>
      <c r="V28" s="149">
        <f t="shared" si="4"/>
        <v>0</v>
      </c>
      <c r="W28" s="149">
        <f t="shared" si="5"/>
        <v>0</v>
      </c>
      <c r="X28" s="149"/>
    </row>
  </sheetData>
  <sheetProtection formatCells="0"/>
  <protectedRanges>
    <protectedRange sqref="N31:Q32" name="Bereich1"/>
    <protectedRange sqref="N19:Q19 N27:Q27 N23:Q23" name="Bereich1_1"/>
  </protectedRanges>
  <mergeCells count="65">
    <mergeCell ref="J19:M22"/>
    <mergeCell ref="J23:M26"/>
    <mergeCell ref="J27:M28"/>
    <mergeCell ref="B27:B28"/>
    <mergeCell ref="C27:E27"/>
    <mergeCell ref="F27:G28"/>
    <mergeCell ref="H27:I27"/>
    <mergeCell ref="C28:E28"/>
    <mergeCell ref="H28:I28"/>
    <mergeCell ref="B23:B26"/>
    <mergeCell ref="C23:E23"/>
    <mergeCell ref="F23:G26"/>
    <mergeCell ref="H23:I23"/>
    <mergeCell ref="C24:E24"/>
    <mergeCell ref="H24:I24"/>
    <mergeCell ref="C25:E25"/>
    <mergeCell ref="H25:I25"/>
    <mergeCell ref="C26:E26"/>
    <mergeCell ref="H26:I26"/>
    <mergeCell ref="B17:B18"/>
    <mergeCell ref="C21:E21"/>
    <mergeCell ref="H21:I21"/>
    <mergeCell ref="B19:B22"/>
    <mergeCell ref="C19:E19"/>
    <mergeCell ref="F19:G22"/>
    <mergeCell ref="H19:I19"/>
    <mergeCell ref="C20:E20"/>
    <mergeCell ref="H20:I20"/>
    <mergeCell ref="C22:E22"/>
    <mergeCell ref="H22:I22"/>
    <mergeCell ref="J17:M18"/>
    <mergeCell ref="C16:E16"/>
    <mergeCell ref="F16:G16"/>
    <mergeCell ref="H16:I16"/>
    <mergeCell ref="J16:M16"/>
    <mergeCell ref="C17:E17"/>
    <mergeCell ref="F17:G18"/>
    <mergeCell ref="H17:I17"/>
    <mergeCell ref="C18:E18"/>
    <mergeCell ref="H18:I18"/>
    <mergeCell ref="B15:M15"/>
    <mergeCell ref="B4:M4"/>
    <mergeCell ref="C6:G6"/>
    <mergeCell ref="C7:M7"/>
    <mergeCell ref="C8:M8"/>
    <mergeCell ref="C9:M9"/>
    <mergeCell ref="C10:M10"/>
    <mergeCell ref="C14:E14"/>
    <mergeCell ref="F14:G14"/>
    <mergeCell ref="H14:I14"/>
    <mergeCell ref="J14:M14"/>
    <mergeCell ref="N14:Q14"/>
    <mergeCell ref="N16:Q16"/>
    <mergeCell ref="N17:Q17"/>
    <mergeCell ref="N18:Q18"/>
    <mergeCell ref="N19:Q19"/>
    <mergeCell ref="N25:Q25"/>
    <mergeCell ref="N26:Q26"/>
    <mergeCell ref="N27:Q27"/>
    <mergeCell ref="N28:Q28"/>
    <mergeCell ref="N20:Q20"/>
    <mergeCell ref="N21:Q21"/>
    <mergeCell ref="N22:Q22"/>
    <mergeCell ref="N23:Q23"/>
    <mergeCell ref="N24:Q24"/>
  </mergeCells>
  <conditionalFormatting sqref="H16:I28">
    <cfRule type="containsText" dxfId="40" priority="1" operator="containsText" text="Bitte auswählen">
      <formula>NOT(ISERROR(SEARCH("Bitte auswählen",H16)))</formula>
    </cfRule>
  </conditionalFormatting>
  <dataValidations xWindow="817" yWindow="419" count="2">
    <dataValidation allowBlank="1" showInputMessage="1" showErrorMessage="1" promptTitle="[+] Klicken" prompt="Hier können Sie sich erweiterte Informationen zu dem Prozess anzeigen lassen." sqref="A11" xr:uid="{DA64B053-DEB4-4E79-8EDC-DF2361DB00C4}"/>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524D582A-0A3E-4636-A50E-30AE84D05685}"/>
  </dataValidations>
  <hyperlinks>
    <hyperlink ref="C27:E27" location="Glossar!A1" display="Werden Publikations- und Verwaltungsprozesse kontinuierlich verbessert und an neue Anforderungen (z. B. Omnichannel, Headless Delivery) angepasst?" xr:uid="{3B3E4E0B-6D38-4CF5-BC93-78BFAC7CD283}"/>
  </hyperlinks>
  <pageMargins left="0.23622047244094491" right="0.23622047244094491" top="0.74803149606299213" bottom="0.74803149606299213" header="0.31496062992125984" footer="0.31496062992125984"/>
  <pageSetup paperSize="9" scale="46" orientation="landscape" horizontalDpi="4294967293"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817" yWindow="419" count="1">
        <x14:dataValidation type="list" allowBlank="1" showInputMessage="1" showErrorMessage="1" xr:uid="{43254BFA-2C84-40BF-B8F2-F9B8964C0FFC}">
          <x14:formula1>
            <xm:f>Data!$I$3:$I$8</xm:f>
          </x14:formula1>
          <xm:sqref>H16:I28</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38801-2A6E-4E7C-A7D0-287A807AE472}">
  <sheetPr>
    <tabColor rgb="FF333399"/>
    <pageSetUpPr fitToPage="1"/>
  </sheetPr>
  <dimension ref="B4:AG27"/>
  <sheetViews>
    <sheetView showGridLines="0" zoomScale="90" zoomScaleNormal="90" zoomScalePageLayoutView="85" workbookViewId="0"/>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68.54296875" style="48" hidden="1" customWidth="1" outlineLevel="1"/>
    <col min="7" max="7" width="26.453125" style="48" hidden="1" customWidth="1" outlineLevel="1"/>
    <col min="8" max="8" width="11.453125" style="48" collapsed="1"/>
    <col min="9" max="10" width="11.453125" style="48"/>
    <col min="11" max="11" width="13.26953125" style="48" customWidth="1"/>
    <col min="12" max="12" width="11.453125" style="48"/>
    <col min="13" max="13" width="23.7265625" style="48" customWidth="1"/>
    <col min="14" max="14" width="11.453125" style="48"/>
    <col min="15" max="15" width="13.26953125" style="48" customWidth="1"/>
    <col min="16" max="16" width="11.453125" style="48"/>
    <col min="17" max="17" width="24.81640625" style="48" customWidth="1"/>
    <col min="18" max="18" width="11.453125" style="49"/>
    <col min="19" max="24" width="11.453125" style="48" customWidth="1"/>
    <col min="25" max="25" width="14" style="48" customWidth="1"/>
    <col min="26" max="32" width="11.453125" style="48" customWidth="1"/>
    <col min="33" max="33" width="11.453125" style="48" hidden="1" customWidth="1"/>
    <col min="34" max="16384" width="11.453125" style="48"/>
  </cols>
  <sheetData>
    <row r="4" spans="2:33" ht="14" x14ac:dyDescent="0.3">
      <c r="B4" s="290" t="s">
        <v>39</v>
      </c>
      <c r="C4" s="290"/>
      <c r="D4" s="290"/>
      <c r="E4" s="290"/>
      <c r="F4" s="290"/>
      <c r="G4" s="290"/>
      <c r="H4" s="290"/>
      <c r="I4" s="290"/>
      <c r="J4" s="290"/>
      <c r="K4" s="290"/>
      <c r="L4" s="290"/>
      <c r="M4" s="290"/>
      <c r="N4" s="216"/>
      <c r="O4" s="216"/>
      <c r="P4" s="216"/>
      <c r="Q4" s="216"/>
    </row>
    <row r="5" spans="2:33" ht="9" customHeight="1" x14ac:dyDescent="0.25"/>
    <row r="6" spans="2:33" ht="32.25" customHeight="1" thickBot="1" x14ac:dyDescent="0.3">
      <c r="B6" s="162" t="s">
        <v>113</v>
      </c>
      <c r="C6" s="293" t="s">
        <v>168</v>
      </c>
      <c r="D6" s="293"/>
      <c r="E6" s="293"/>
      <c r="F6" s="293"/>
      <c r="G6" s="293"/>
      <c r="H6" s="53"/>
      <c r="I6" s="53"/>
      <c r="J6" s="53"/>
      <c r="K6" s="53" t="s">
        <v>36</v>
      </c>
      <c r="L6" s="55">
        <f>ROUNDDOWN(Z16/0.25,0)*0.25</f>
        <v>0</v>
      </c>
      <c r="M6" s="54" t="str">
        <f>IF(L6&lt;1,"Unvollständig",IF(L6&lt;2,"Initial",IF(L6&lt;3,"Gemanagt",IF(L6&lt;4,"Definiert",IF(L6&lt;5,"Quantitativ gemanagt",IF(L6&lt;6,"Optimiert","Ausstehend"))))))</f>
        <v>Unvollständig</v>
      </c>
      <c r="N6" s="53"/>
      <c r="O6" s="53"/>
      <c r="P6" s="55"/>
      <c r="Q6" s="54"/>
    </row>
    <row r="7" spans="2:33" ht="35.25" hidden="1" customHeight="1" outlineLevel="1" x14ac:dyDescent="0.25">
      <c r="B7" s="76" t="s">
        <v>211</v>
      </c>
      <c r="C7" s="294" t="s">
        <v>800</v>
      </c>
      <c r="D7" s="295"/>
      <c r="E7" s="295"/>
      <c r="F7" s="295"/>
      <c r="G7" s="295"/>
      <c r="H7" s="295"/>
      <c r="I7" s="295"/>
      <c r="J7" s="295"/>
      <c r="K7" s="295"/>
      <c r="L7" s="295"/>
      <c r="M7" s="296"/>
      <c r="N7" s="218"/>
      <c r="O7" s="218"/>
      <c r="P7" s="218"/>
      <c r="Q7" s="218"/>
    </row>
    <row r="8" spans="2:33" ht="70.5" hidden="1" customHeight="1" outlineLevel="1" x14ac:dyDescent="0.25">
      <c r="B8" s="51" t="s">
        <v>212</v>
      </c>
      <c r="C8" s="297" t="s">
        <v>485</v>
      </c>
      <c r="D8" s="298"/>
      <c r="E8" s="298"/>
      <c r="F8" s="298"/>
      <c r="G8" s="298"/>
      <c r="H8" s="298"/>
      <c r="I8" s="298"/>
      <c r="J8" s="298"/>
      <c r="K8" s="298"/>
      <c r="L8" s="298"/>
      <c r="M8" s="299"/>
      <c r="N8" s="217"/>
      <c r="O8" s="217"/>
      <c r="P8" s="217"/>
      <c r="Q8" s="217"/>
    </row>
    <row r="9" spans="2:33" ht="75" hidden="1" customHeight="1" outlineLevel="1" x14ac:dyDescent="0.25">
      <c r="B9" s="51" t="s">
        <v>30</v>
      </c>
      <c r="C9" s="300" t="s">
        <v>487</v>
      </c>
      <c r="D9" s="301"/>
      <c r="E9" s="301"/>
      <c r="F9" s="301"/>
      <c r="G9" s="301"/>
      <c r="H9" s="301"/>
      <c r="I9" s="301"/>
      <c r="J9" s="301"/>
      <c r="K9" s="301"/>
      <c r="L9" s="301"/>
      <c r="M9" s="302"/>
      <c r="N9" s="218"/>
      <c r="O9" s="218"/>
      <c r="P9" s="218"/>
      <c r="Q9" s="218"/>
    </row>
    <row r="10" spans="2:33" ht="65.25" hidden="1" customHeight="1" outlineLevel="1" x14ac:dyDescent="0.25">
      <c r="B10" s="51" t="s">
        <v>31</v>
      </c>
      <c r="C10" s="300" t="s">
        <v>486</v>
      </c>
      <c r="D10" s="301"/>
      <c r="E10" s="301"/>
      <c r="F10" s="301"/>
      <c r="G10" s="301"/>
      <c r="H10" s="301"/>
      <c r="I10" s="301"/>
      <c r="J10" s="301"/>
      <c r="K10" s="301"/>
      <c r="L10" s="301"/>
      <c r="M10" s="302"/>
      <c r="N10" s="218"/>
      <c r="O10" s="218"/>
      <c r="P10" s="218"/>
      <c r="Q10" s="218"/>
    </row>
    <row r="11" spans="2:33" collapsed="1" x14ac:dyDescent="0.25"/>
    <row r="12" spans="2:33" ht="13" x14ac:dyDescent="0.3">
      <c r="B12" s="50" t="s">
        <v>33</v>
      </c>
      <c r="C12" s="49"/>
    </row>
    <row r="13" spans="2:33" ht="6.75" customHeight="1" x14ac:dyDescent="0.25"/>
    <row r="14" spans="2:33" ht="21.75" customHeight="1" x14ac:dyDescent="0.25">
      <c r="B14" s="52" t="s">
        <v>34</v>
      </c>
      <c r="C14" s="353" t="s">
        <v>37</v>
      </c>
      <c r="D14" s="354"/>
      <c r="E14" s="355"/>
      <c r="F14" s="341" t="s">
        <v>67</v>
      </c>
      <c r="G14" s="356"/>
      <c r="H14" s="341" t="s">
        <v>3</v>
      </c>
      <c r="I14" s="356"/>
      <c r="J14" s="341" t="s">
        <v>886</v>
      </c>
      <c r="K14" s="342"/>
      <c r="L14" s="342"/>
      <c r="M14" s="342"/>
      <c r="N14" s="341" t="s">
        <v>38</v>
      </c>
      <c r="O14" s="342"/>
      <c r="P14" s="342"/>
      <c r="Q14" s="342"/>
      <c r="S14" s="149"/>
      <c r="T14" s="149" t="s">
        <v>35</v>
      </c>
      <c r="U14" s="149"/>
      <c r="V14" s="149"/>
      <c r="W14" s="149"/>
      <c r="X14" s="149"/>
      <c r="Y14" s="149" t="s">
        <v>45</v>
      </c>
      <c r="Z14" s="149" t="s">
        <v>44</v>
      </c>
    </row>
    <row r="15" spans="2:33" ht="1.5" customHeight="1" x14ac:dyDescent="0.3">
      <c r="B15" s="314"/>
      <c r="C15" s="314"/>
      <c r="D15" s="314"/>
      <c r="E15" s="314"/>
      <c r="F15" s="314"/>
      <c r="G15" s="314"/>
      <c r="H15" s="314"/>
      <c r="I15" s="314"/>
      <c r="J15" s="314"/>
      <c r="K15" s="314"/>
      <c r="L15" s="314"/>
      <c r="M15" s="314"/>
      <c r="N15" s="219"/>
      <c r="O15" s="219"/>
      <c r="P15" s="219"/>
      <c r="Q15" s="219"/>
    </row>
    <row r="16" spans="2:33" ht="40" customHeight="1" thickBot="1" x14ac:dyDescent="0.35">
      <c r="B16" s="182">
        <v>1</v>
      </c>
      <c r="C16" s="310" t="s">
        <v>1140</v>
      </c>
      <c r="D16" s="310"/>
      <c r="E16" s="310"/>
      <c r="F16" s="310" t="s">
        <v>488</v>
      </c>
      <c r="G16" s="310"/>
      <c r="H16" s="340" t="s">
        <v>42</v>
      </c>
      <c r="I16" s="340"/>
      <c r="J16" s="340" t="s">
        <v>29</v>
      </c>
      <c r="K16" s="340"/>
      <c r="L16" s="340"/>
      <c r="M16" s="340"/>
      <c r="N16" s="340"/>
      <c r="O16" s="340"/>
      <c r="P16" s="340"/>
      <c r="Q16" s="340"/>
      <c r="S16" s="74">
        <f>IF(H16="Nicht anwendbar","n.a.",0)</f>
        <v>0</v>
      </c>
      <c r="T16" s="75">
        <f>IF(H16="Vollständig",1,0)</f>
        <v>0</v>
      </c>
      <c r="U16" s="75">
        <f>IF(H16="In den meisten Fällen",0.75,0)</f>
        <v>0</v>
      </c>
      <c r="V16" s="75">
        <f>IF(H16="In ein Paar Fällen",0.5,0)</f>
        <v>0</v>
      </c>
      <c r="W16" s="75">
        <f>IF(H16="Gar nicht",0,0)</f>
        <v>0</v>
      </c>
      <c r="X16" s="75">
        <f>IF(S16&gt;0,"n.a.",SUM(S16:W16))</f>
        <v>0</v>
      </c>
      <c r="Y16" s="48">
        <f>X16</f>
        <v>0</v>
      </c>
      <c r="Z16" s="48">
        <f>IF(Y16&lt;&gt;"n.a.",SUM(Y16,Y17,Y19,Y22,Y25),NA())</f>
        <v>0</v>
      </c>
      <c r="AG16" s="49" t="str">
        <f t="shared" ref="AG16:AG18" si="0">IF(X16&gt;0.5,"Umgesetzt","Nicht umgesetzt")</f>
        <v>Nicht umgesetzt</v>
      </c>
    </row>
    <row r="17" spans="2:33" ht="40" customHeight="1" thickBot="1" x14ac:dyDescent="0.3">
      <c r="B17" s="325">
        <v>2</v>
      </c>
      <c r="C17" s="343" t="s">
        <v>1141</v>
      </c>
      <c r="D17" s="343"/>
      <c r="E17" s="343"/>
      <c r="F17" s="361" t="s">
        <v>498</v>
      </c>
      <c r="G17" s="362"/>
      <c r="H17" s="365" t="s">
        <v>42</v>
      </c>
      <c r="I17" s="365"/>
      <c r="J17" s="351" t="s">
        <v>1111</v>
      </c>
      <c r="K17" s="352"/>
      <c r="L17" s="352"/>
      <c r="M17" s="352"/>
      <c r="N17" s="339"/>
      <c r="O17" s="339"/>
      <c r="P17" s="339"/>
      <c r="Q17" s="339"/>
      <c r="S17" s="49">
        <f t="shared" ref="S17:S27" si="1">IF(H17="Nicht anwendbar","n.a.",0)</f>
        <v>0</v>
      </c>
      <c r="T17" s="49">
        <f t="shared" ref="T17:T27" si="2">IF(H17="Vollständig",1,0)</f>
        <v>0</v>
      </c>
      <c r="U17" s="49">
        <f>IF(H17="In den meisten Fällen",0.75,0)</f>
        <v>0</v>
      </c>
      <c r="V17" s="49">
        <f>IF(H17="In ein Paar Fällen",0.5,0)</f>
        <v>0</v>
      </c>
      <c r="W17" s="49">
        <f>IF(H17="Gar nicht",0,0)</f>
        <v>0</v>
      </c>
      <c r="X17" s="143">
        <f>IFERROR(SUM(T17:W18)/COUNTIF(H17:H18,"&lt;&gt;Nicht anwendbar"),"n.a.")</f>
        <v>0</v>
      </c>
      <c r="Y17" s="48">
        <f>IF(X16=1,X17,0)</f>
        <v>0</v>
      </c>
      <c r="AG17" s="49" t="str">
        <f t="shared" si="0"/>
        <v>Nicht umgesetzt</v>
      </c>
    </row>
    <row r="18" spans="2:33" ht="40" customHeight="1" thickBot="1" x14ac:dyDescent="0.3">
      <c r="B18" s="326"/>
      <c r="C18" s="310" t="s">
        <v>1142</v>
      </c>
      <c r="D18" s="310"/>
      <c r="E18" s="310"/>
      <c r="F18" s="308"/>
      <c r="G18" s="308"/>
      <c r="H18" s="340" t="s">
        <v>42</v>
      </c>
      <c r="I18" s="340"/>
      <c r="J18" s="275"/>
      <c r="K18" s="275"/>
      <c r="L18" s="275"/>
      <c r="M18" s="275"/>
      <c r="N18" s="339"/>
      <c r="O18" s="339"/>
      <c r="P18" s="339"/>
      <c r="Q18" s="339"/>
      <c r="S18" s="75">
        <f t="shared" si="1"/>
        <v>0</v>
      </c>
      <c r="T18" s="75">
        <f t="shared" si="2"/>
        <v>0</v>
      </c>
      <c r="U18" s="75">
        <f t="shared" ref="U18:U27" si="3">IF(H18="In den meisten Fällen",0.75,0)</f>
        <v>0</v>
      </c>
      <c r="V18" s="75">
        <f t="shared" ref="V18:V27" si="4">IF(H18="In ein Paar Fällen",0.5,0)</f>
        <v>0</v>
      </c>
      <c r="W18" s="75">
        <f t="shared" ref="W18:W27" si="5">IF(H18="Gar nicht",0,0)</f>
        <v>0</v>
      </c>
      <c r="X18" s="75"/>
      <c r="AG18" s="49" t="str">
        <f t="shared" si="0"/>
        <v>Nicht umgesetzt</v>
      </c>
    </row>
    <row r="19" spans="2:33" ht="40" customHeight="1" thickBot="1" x14ac:dyDescent="0.3">
      <c r="B19" s="325">
        <v>3</v>
      </c>
      <c r="C19" s="344" t="s">
        <v>489</v>
      </c>
      <c r="D19" s="345"/>
      <c r="E19" s="345"/>
      <c r="F19" s="370" t="s">
        <v>497</v>
      </c>
      <c r="G19" s="371"/>
      <c r="H19" s="365" t="s">
        <v>42</v>
      </c>
      <c r="I19" s="365"/>
      <c r="J19" s="357" t="s">
        <v>955</v>
      </c>
      <c r="K19" s="358"/>
      <c r="L19" s="358"/>
      <c r="M19" s="358"/>
      <c r="N19" s="272"/>
      <c r="O19" s="272"/>
      <c r="P19" s="272"/>
      <c r="Q19" s="272"/>
      <c r="S19" s="48">
        <f t="shared" si="1"/>
        <v>0</v>
      </c>
      <c r="T19" s="49">
        <f t="shared" si="2"/>
        <v>0</v>
      </c>
      <c r="U19" s="49">
        <f t="shared" si="3"/>
        <v>0</v>
      </c>
      <c r="V19" s="49">
        <f t="shared" si="4"/>
        <v>0</v>
      </c>
      <c r="W19" s="49">
        <f t="shared" si="5"/>
        <v>0</v>
      </c>
      <c r="X19" s="143">
        <f>IFERROR(SUM(T19:W21)/COUNTIF(H19:H21,"&lt;&gt;Nicht anwendbar"),"n.a.")</f>
        <v>0</v>
      </c>
      <c r="Y19" s="48">
        <f>IF(Y17=1,X19,0)</f>
        <v>0</v>
      </c>
    </row>
    <row r="20" spans="2:33" ht="40" customHeight="1" thickBot="1" x14ac:dyDescent="0.3">
      <c r="B20" s="323"/>
      <c r="C20" s="347" t="s">
        <v>490</v>
      </c>
      <c r="D20" s="348"/>
      <c r="E20" s="348"/>
      <c r="F20" s="337"/>
      <c r="G20" s="337"/>
      <c r="H20" s="366" t="s">
        <v>42</v>
      </c>
      <c r="I20" s="366"/>
      <c r="J20" s="282"/>
      <c r="K20" s="282"/>
      <c r="L20" s="282"/>
      <c r="M20" s="282"/>
      <c r="N20" s="339"/>
      <c r="O20" s="339"/>
      <c r="P20" s="339"/>
      <c r="Q20" s="339"/>
      <c r="S20" s="48">
        <f t="shared" si="1"/>
        <v>0</v>
      </c>
      <c r="T20" s="49">
        <f t="shared" si="2"/>
        <v>0</v>
      </c>
      <c r="U20" s="49">
        <f t="shared" si="3"/>
        <v>0</v>
      </c>
      <c r="V20" s="49">
        <f t="shared" si="4"/>
        <v>0</v>
      </c>
      <c r="W20" s="49">
        <f t="shared" si="5"/>
        <v>0</v>
      </c>
    </row>
    <row r="21" spans="2:33" ht="40" customHeight="1" thickBot="1" x14ac:dyDescent="0.3">
      <c r="B21" s="326"/>
      <c r="C21" s="368" t="s">
        <v>491</v>
      </c>
      <c r="D21" s="368"/>
      <c r="E21" s="368"/>
      <c r="F21" s="386"/>
      <c r="G21" s="386"/>
      <c r="H21" s="340" t="s">
        <v>42</v>
      </c>
      <c r="I21" s="340"/>
      <c r="J21" s="270"/>
      <c r="K21" s="270"/>
      <c r="L21" s="270"/>
      <c r="M21" s="270"/>
      <c r="N21" s="339"/>
      <c r="O21" s="339"/>
      <c r="P21" s="339"/>
      <c r="Q21" s="339"/>
      <c r="S21" s="75">
        <f t="shared" si="1"/>
        <v>0</v>
      </c>
      <c r="T21" s="75">
        <f t="shared" si="2"/>
        <v>0</v>
      </c>
      <c r="U21" s="75">
        <f t="shared" si="3"/>
        <v>0</v>
      </c>
      <c r="V21" s="75">
        <f t="shared" si="4"/>
        <v>0</v>
      </c>
      <c r="W21" s="75">
        <f t="shared" si="5"/>
        <v>0</v>
      </c>
      <c r="X21" s="75"/>
    </row>
    <row r="22" spans="2:33" ht="40" customHeight="1" thickBot="1" x14ac:dyDescent="0.3">
      <c r="B22" s="325">
        <v>4</v>
      </c>
      <c r="C22" s="343" t="s">
        <v>492</v>
      </c>
      <c r="D22" s="343"/>
      <c r="E22" s="343"/>
      <c r="F22" s="361" t="s">
        <v>499</v>
      </c>
      <c r="G22" s="362"/>
      <c r="H22" s="365" t="s">
        <v>42</v>
      </c>
      <c r="I22" s="365"/>
      <c r="J22" s="352" t="s">
        <v>956</v>
      </c>
      <c r="K22" s="352"/>
      <c r="L22" s="352"/>
      <c r="M22" s="352"/>
      <c r="N22" s="272"/>
      <c r="O22" s="272"/>
      <c r="P22" s="272"/>
      <c r="Q22" s="272"/>
      <c r="S22" s="49">
        <f t="shared" si="1"/>
        <v>0</v>
      </c>
      <c r="T22" s="49">
        <f t="shared" si="2"/>
        <v>0</v>
      </c>
      <c r="U22" s="49">
        <f t="shared" si="3"/>
        <v>0</v>
      </c>
      <c r="V22" s="49">
        <f t="shared" si="4"/>
        <v>0</v>
      </c>
      <c r="W22" s="49">
        <f t="shared" si="5"/>
        <v>0</v>
      </c>
      <c r="X22" s="143">
        <f>IFERROR(SUM(T22:W24)/COUNTIF(H22:H24,"&lt;&gt;Nicht anwendbar"),"n.a.")</f>
        <v>0</v>
      </c>
      <c r="Y22" s="48">
        <f>IF(Y19=1,X22,0)</f>
        <v>0</v>
      </c>
    </row>
    <row r="23" spans="2:33" ht="40" customHeight="1" thickBot="1" x14ac:dyDescent="0.3">
      <c r="B23" s="323"/>
      <c r="C23" s="330" t="s">
        <v>493</v>
      </c>
      <c r="D23" s="330"/>
      <c r="E23" s="330"/>
      <c r="F23" s="307"/>
      <c r="G23" s="307"/>
      <c r="H23" s="366" t="s">
        <v>42</v>
      </c>
      <c r="I23" s="366"/>
      <c r="J23" s="286"/>
      <c r="K23" s="286"/>
      <c r="L23" s="286"/>
      <c r="M23" s="286"/>
      <c r="N23" s="339"/>
      <c r="O23" s="339"/>
      <c r="P23" s="339"/>
      <c r="Q23" s="339"/>
      <c r="S23" s="49">
        <f t="shared" si="1"/>
        <v>0</v>
      </c>
      <c r="T23" s="49">
        <f t="shared" si="2"/>
        <v>0</v>
      </c>
      <c r="U23" s="49">
        <f t="shared" si="3"/>
        <v>0</v>
      </c>
      <c r="V23" s="49">
        <f t="shared" si="4"/>
        <v>0</v>
      </c>
      <c r="W23" s="49">
        <f t="shared" si="5"/>
        <v>0</v>
      </c>
      <c r="X23" s="49"/>
    </row>
    <row r="24" spans="2:33" ht="40" customHeight="1" thickBot="1" x14ac:dyDescent="0.3">
      <c r="B24" s="323"/>
      <c r="C24" s="350" t="s">
        <v>1143</v>
      </c>
      <c r="D24" s="350"/>
      <c r="E24" s="350"/>
      <c r="F24" s="308"/>
      <c r="G24" s="308"/>
      <c r="H24" s="340" t="s">
        <v>42</v>
      </c>
      <c r="I24" s="340"/>
      <c r="J24" s="275"/>
      <c r="K24" s="275"/>
      <c r="L24" s="275"/>
      <c r="M24" s="275"/>
      <c r="N24" s="339"/>
      <c r="O24" s="339"/>
      <c r="P24" s="339"/>
      <c r="Q24" s="339"/>
      <c r="S24" s="149">
        <f t="shared" si="1"/>
        <v>0</v>
      </c>
      <c r="T24" s="149">
        <f t="shared" si="2"/>
        <v>0</v>
      </c>
      <c r="U24" s="149">
        <f t="shared" si="3"/>
        <v>0</v>
      </c>
      <c r="V24" s="149">
        <f t="shared" si="4"/>
        <v>0</v>
      </c>
      <c r="W24" s="149">
        <f t="shared" si="5"/>
        <v>0</v>
      </c>
      <c r="X24" s="149"/>
    </row>
    <row r="25" spans="2:33" ht="40" customHeight="1" thickBot="1" x14ac:dyDescent="0.3">
      <c r="B25" s="325">
        <v>5</v>
      </c>
      <c r="C25" s="343" t="s">
        <v>494</v>
      </c>
      <c r="D25" s="343"/>
      <c r="E25" s="343"/>
      <c r="F25" s="361" t="s">
        <v>500</v>
      </c>
      <c r="G25" s="362"/>
      <c r="H25" s="365" t="s">
        <v>42</v>
      </c>
      <c r="I25" s="365"/>
      <c r="J25" s="351" t="s">
        <v>957</v>
      </c>
      <c r="K25" s="352"/>
      <c r="L25" s="352"/>
      <c r="M25" s="352"/>
      <c r="N25" s="272"/>
      <c r="O25" s="272"/>
      <c r="P25" s="272"/>
      <c r="Q25" s="272"/>
      <c r="S25" s="157">
        <f t="shared" si="1"/>
        <v>0</v>
      </c>
      <c r="T25" s="157">
        <f t="shared" si="2"/>
        <v>0</v>
      </c>
      <c r="U25" s="157">
        <f t="shared" si="3"/>
        <v>0</v>
      </c>
      <c r="V25" s="157">
        <f t="shared" si="4"/>
        <v>0</v>
      </c>
      <c r="W25" s="157">
        <f t="shared" si="5"/>
        <v>0</v>
      </c>
      <c r="X25" s="143">
        <f>IFERROR(SUM(T25:W27)/COUNTIF(H25:H27,"&lt;&gt;Nicht anwendbar"),"n.a.")</f>
        <v>0</v>
      </c>
      <c r="Y25" s="48">
        <f>IF(Y22=1,X25,0)</f>
        <v>0</v>
      </c>
    </row>
    <row r="26" spans="2:33" ht="40" customHeight="1" thickBot="1" x14ac:dyDescent="0.3">
      <c r="B26" s="323"/>
      <c r="C26" s="330" t="s">
        <v>496</v>
      </c>
      <c r="D26" s="330"/>
      <c r="E26" s="330"/>
      <c r="F26" s="350"/>
      <c r="G26" s="307"/>
      <c r="H26" s="366" t="s">
        <v>42</v>
      </c>
      <c r="I26" s="366"/>
      <c r="J26" s="286"/>
      <c r="K26" s="286"/>
      <c r="L26" s="286"/>
      <c r="M26" s="286"/>
      <c r="N26" s="339"/>
      <c r="O26" s="339"/>
      <c r="P26" s="339"/>
      <c r="Q26" s="339"/>
      <c r="S26" s="49">
        <f t="shared" si="1"/>
        <v>0</v>
      </c>
      <c r="T26" s="49">
        <f t="shared" si="2"/>
        <v>0</v>
      </c>
      <c r="U26" s="49">
        <f t="shared" ref="U26" si="6">IF(H26="In den meisten Fällen",0.75,0)</f>
        <v>0</v>
      </c>
      <c r="V26" s="49">
        <f t="shared" ref="V26" si="7">IF(H26="In ein Paar Fällen",0.5,0)</f>
        <v>0</v>
      </c>
      <c r="W26" s="49">
        <f t="shared" ref="W26" si="8">IF(H26="Gar nicht",0,0)</f>
        <v>0</v>
      </c>
      <c r="X26" s="49"/>
    </row>
    <row r="27" spans="2:33" ht="40" customHeight="1" thickBot="1" x14ac:dyDescent="0.3">
      <c r="B27" s="326"/>
      <c r="C27" s="310" t="s">
        <v>495</v>
      </c>
      <c r="D27" s="310"/>
      <c r="E27" s="310"/>
      <c r="F27" s="308"/>
      <c r="G27" s="308"/>
      <c r="H27" s="340" t="s">
        <v>42</v>
      </c>
      <c r="I27" s="340"/>
      <c r="J27" s="275"/>
      <c r="K27" s="275"/>
      <c r="L27" s="275"/>
      <c r="M27" s="275"/>
      <c r="N27" s="309"/>
      <c r="O27" s="309"/>
      <c r="P27" s="309"/>
      <c r="Q27" s="309"/>
      <c r="S27" s="149">
        <f t="shared" si="1"/>
        <v>0</v>
      </c>
      <c r="T27" s="149">
        <f t="shared" si="2"/>
        <v>0</v>
      </c>
      <c r="U27" s="149">
        <f t="shared" si="3"/>
        <v>0</v>
      </c>
      <c r="V27" s="149">
        <f t="shared" si="4"/>
        <v>0</v>
      </c>
      <c r="W27" s="149">
        <f t="shared" si="5"/>
        <v>0</v>
      </c>
      <c r="X27" s="149"/>
    </row>
  </sheetData>
  <sheetProtection formatCells="0"/>
  <protectedRanges>
    <protectedRange sqref="N31:Q32" name="Bereich1"/>
    <protectedRange sqref="N19:Q19 N22:Q22 N25:Q25" name="Bereich1_1"/>
  </protectedRanges>
  <mergeCells count="62">
    <mergeCell ref="B25:B27"/>
    <mergeCell ref="C25:E25"/>
    <mergeCell ref="F25:G27"/>
    <mergeCell ref="H25:I25"/>
    <mergeCell ref="C27:E27"/>
    <mergeCell ref="H27:I27"/>
    <mergeCell ref="C26:E26"/>
    <mergeCell ref="H26:I26"/>
    <mergeCell ref="B22:B24"/>
    <mergeCell ref="C22:E22"/>
    <mergeCell ref="F22:G24"/>
    <mergeCell ref="H22:I22"/>
    <mergeCell ref="C23:E23"/>
    <mergeCell ref="H23:I23"/>
    <mergeCell ref="C24:E24"/>
    <mergeCell ref="H24:I24"/>
    <mergeCell ref="B17:B18"/>
    <mergeCell ref="C21:E21"/>
    <mergeCell ref="H21:I21"/>
    <mergeCell ref="B19:B21"/>
    <mergeCell ref="C19:E19"/>
    <mergeCell ref="F19:G21"/>
    <mergeCell ref="H19:I19"/>
    <mergeCell ref="C20:E20"/>
    <mergeCell ref="H20:I20"/>
    <mergeCell ref="F16:G16"/>
    <mergeCell ref="H16:I16"/>
    <mergeCell ref="J16:M16"/>
    <mergeCell ref="C17:E17"/>
    <mergeCell ref="F17:G18"/>
    <mergeCell ref="H17:I17"/>
    <mergeCell ref="C18:E18"/>
    <mergeCell ref="H18:I18"/>
    <mergeCell ref="J25:M27"/>
    <mergeCell ref="J22:M24"/>
    <mergeCell ref="B15:M15"/>
    <mergeCell ref="B4:M4"/>
    <mergeCell ref="C6:G6"/>
    <mergeCell ref="C7:M7"/>
    <mergeCell ref="C8:M8"/>
    <mergeCell ref="C9:M9"/>
    <mergeCell ref="C10:M10"/>
    <mergeCell ref="C14:E14"/>
    <mergeCell ref="F14:G14"/>
    <mergeCell ref="H14:I14"/>
    <mergeCell ref="J14:M14"/>
    <mergeCell ref="J17:M18"/>
    <mergeCell ref="J19:M21"/>
    <mergeCell ref="C16:E16"/>
    <mergeCell ref="N14:Q14"/>
    <mergeCell ref="N16:Q16"/>
    <mergeCell ref="N17:Q17"/>
    <mergeCell ref="N18:Q18"/>
    <mergeCell ref="N19:Q19"/>
    <mergeCell ref="N25:Q25"/>
    <mergeCell ref="N26:Q26"/>
    <mergeCell ref="N27:Q27"/>
    <mergeCell ref="N20:Q20"/>
    <mergeCell ref="N21:Q21"/>
    <mergeCell ref="N22:Q22"/>
    <mergeCell ref="N23:Q23"/>
    <mergeCell ref="N24:Q24"/>
  </mergeCells>
  <conditionalFormatting sqref="H16:I25 H27:I27">
    <cfRule type="containsText" dxfId="39" priority="2" operator="containsText" text="Bitte auswählen">
      <formula>NOT(ISERROR(SEARCH("Bitte auswählen",H16)))</formula>
    </cfRule>
  </conditionalFormatting>
  <conditionalFormatting sqref="H26:I26">
    <cfRule type="containsText" dxfId="38" priority="1" operator="containsText" text="Bitte auswählen">
      <formula>NOT(ISERROR(SEARCH("Bitte auswählen",H26)))</formula>
    </cfRule>
  </conditionalFormatting>
  <dataValidations xWindow="772" yWindow="419" count="2">
    <dataValidation allowBlank="1" showInputMessage="1" showErrorMessage="1" promptTitle="[+] Klicken" prompt="Hier können Sie sich erweiterte Informationen zu dem Prozess anzeigen lassen." sqref="A11" xr:uid="{CC504F82-7B51-4AE7-9152-E0C8EDFA8CC6}"/>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1FD10ECD-ECE9-448E-B345-D1CD14BD32B4}"/>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772" yWindow="419" count="1">
        <x14:dataValidation type="list" allowBlank="1" showInputMessage="1" showErrorMessage="1" xr:uid="{00F8C2D6-8CF4-402D-9034-D21B30F6D5AC}">
          <x14:formula1>
            <xm:f>Data!$I$3:$I$8</xm:f>
          </x14:formula1>
          <xm:sqref>H16:I27</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E98B7-876F-420C-8AB6-BD9BDC90CC7A}">
  <sheetPr>
    <tabColor rgb="FF333399"/>
    <pageSetUpPr fitToPage="1"/>
  </sheetPr>
  <dimension ref="B4:AG27"/>
  <sheetViews>
    <sheetView showGridLines="0" zoomScale="90" zoomScaleNormal="90" zoomScalePageLayoutView="85" workbookViewId="0"/>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68.54296875" style="48" hidden="1" customWidth="1" outlineLevel="1"/>
    <col min="7" max="7" width="26.453125" style="48" hidden="1" customWidth="1" outlineLevel="1"/>
    <col min="8" max="8" width="11.453125" style="48" collapsed="1"/>
    <col min="9" max="10" width="11.453125" style="48"/>
    <col min="11" max="11" width="13.26953125" style="48" customWidth="1"/>
    <col min="12" max="12" width="11.453125" style="48"/>
    <col min="13" max="13" width="43" style="48" customWidth="1"/>
    <col min="14" max="14" width="11.453125" style="48"/>
    <col min="15" max="15" width="13.26953125" style="48" customWidth="1"/>
    <col min="16" max="16" width="11.453125" style="48"/>
    <col min="17" max="17" width="24.81640625" style="48" customWidth="1"/>
    <col min="18" max="18" width="11.453125" style="49"/>
    <col min="19" max="24" width="11.453125" style="48" customWidth="1"/>
    <col min="25" max="25" width="14" style="48" customWidth="1"/>
    <col min="26" max="32" width="11.453125" style="48" customWidth="1"/>
    <col min="33" max="33" width="11.453125" style="48" hidden="1" customWidth="1"/>
    <col min="34" max="16384" width="11.453125" style="48"/>
  </cols>
  <sheetData>
    <row r="4" spans="2:33" ht="14" x14ac:dyDescent="0.3">
      <c r="B4" s="290" t="s">
        <v>39</v>
      </c>
      <c r="C4" s="290"/>
      <c r="D4" s="290"/>
      <c r="E4" s="290"/>
      <c r="F4" s="290"/>
      <c r="G4" s="290"/>
      <c r="H4" s="290"/>
      <c r="I4" s="290"/>
      <c r="J4" s="290"/>
      <c r="K4" s="290"/>
      <c r="L4" s="290"/>
      <c r="M4" s="290"/>
      <c r="N4" s="216"/>
      <c r="O4" s="216"/>
      <c r="P4" s="216"/>
      <c r="Q4" s="216"/>
    </row>
    <row r="5" spans="2:33" ht="9" customHeight="1" x14ac:dyDescent="0.25"/>
    <row r="6" spans="2:33" ht="32.25" customHeight="1" thickBot="1" x14ac:dyDescent="0.3">
      <c r="B6" s="162" t="s">
        <v>115</v>
      </c>
      <c r="C6" s="293" t="s">
        <v>169</v>
      </c>
      <c r="D6" s="293"/>
      <c r="E6" s="293"/>
      <c r="F6" s="293"/>
      <c r="G6" s="293"/>
      <c r="H6" s="53"/>
      <c r="I6" s="53"/>
      <c r="J6" s="53"/>
      <c r="K6" s="53" t="s">
        <v>36</v>
      </c>
      <c r="L6" s="55">
        <f>ROUNDDOWN(Z16/0.25,0)*0.25</f>
        <v>0</v>
      </c>
      <c r="M6" s="54" t="str">
        <f>IF(L6&lt;1,"Unvollständig",IF(L6&lt;2,"Initial",IF(L6&lt;3,"Gemanagt",IF(L6&lt;4,"Definiert",IF(L6&lt;5,"Quantitativ gemanagt",IF(L6&lt;6,"Optimiert","Ausstehend"))))))</f>
        <v>Unvollständig</v>
      </c>
      <c r="N6" s="53"/>
      <c r="O6" s="53"/>
      <c r="P6" s="55"/>
      <c r="Q6" s="54"/>
    </row>
    <row r="7" spans="2:33" ht="35.25" hidden="1" customHeight="1" outlineLevel="1" x14ac:dyDescent="0.25">
      <c r="B7" s="76" t="s">
        <v>211</v>
      </c>
      <c r="C7" s="294" t="s">
        <v>801</v>
      </c>
      <c r="D7" s="295"/>
      <c r="E7" s="295"/>
      <c r="F7" s="295"/>
      <c r="G7" s="295"/>
      <c r="H7" s="295"/>
      <c r="I7" s="295"/>
      <c r="J7" s="295"/>
      <c r="K7" s="295"/>
      <c r="L7" s="295"/>
      <c r="M7" s="296"/>
      <c r="N7" s="218"/>
      <c r="O7" s="218"/>
      <c r="P7" s="218"/>
      <c r="Q7" s="218"/>
    </row>
    <row r="8" spans="2:33" ht="70.5" hidden="1" customHeight="1" outlineLevel="1" x14ac:dyDescent="0.25">
      <c r="B8" s="51" t="s">
        <v>212</v>
      </c>
      <c r="C8" s="297" t="s">
        <v>802</v>
      </c>
      <c r="D8" s="298"/>
      <c r="E8" s="298"/>
      <c r="F8" s="298"/>
      <c r="G8" s="298"/>
      <c r="H8" s="298"/>
      <c r="I8" s="298"/>
      <c r="J8" s="298"/>
      <c r="K8" s="298"/>
      <c r="L8" s="298"/>
      <c r="M8" s="299"/>
      <c r="N8" s="217"/>
      <c r="O8" s="217"/>
      <c r="P8" s="217"/>
      <c r="Q8" s="217"/>
    </row>
    <row r="9" spans="2:33" ht="75" hidden="1" customHeight="1" outlineLevel="1" x14ac:dyDescent="0.25">
      <c r="B9" s="51" t="s">
        <v>30</v>
      </c>
      <c r="C9" s="300" t="s">
        <v>501</v>
      </c>
      <c r="D9" s="301"/>
      <c r="E9" s="301"/>
      <c r="F9" s="301"/>
      <c r="G9" s="301"/>
      <c r="H9" s="301"/>
      <c r="I9" s="301"/>
      <c r="J9" s="301"/>
      <c r="K9" s="301"/>
      <c r="L9" s="301"/>
      <c r="M9" s="302"/>
      <c r="N9" s="218"/>
      <c r="O9" s="218"/>
      <c r="P9" s="218"/>
      <c r="Q9" s="218"/>
    </row>
    <row r="10" spans="2:33" ht="65.25" hidden="1" customHeight="1" outlineLevel="1" x14ac:dyDescent="0.25">
      <c r="B10" s="51" t="s">
        <v>31</v>
      </c>
      <c r="C10" s="300" t="s">
        <v>502</v>
      </c>
      <c r="D10" s="301"/>
      <c r="E10" s="301"/>
      <c r="F10" s="301"/>
      <c r="G10" s="301"/>
      <c r="H10" s="301"/>
      <c r="I10" s="301"/>
      <c r="J10" s="301"/>
      <c r="K10" s="301"/>
      <c r="L10" s="301"/>
      <c r="M10" s="302"/>
      <c r="N10" s="218"/>
      <c r="O10" s="218"/>
      <c r="P10" s="218"/>
      <c r="Q10" s="218"/>
    </row>
    <row r="11" spans="2:33" collapsed="1" x14ac:dyDescent="0.25"/>
    <row r="12" spans="2:33" ht="13" x14ac:dyDescent="0.3">
      <c r="B12" s="50" t="s">
        <v>33</v>
      </c>
      <c r="C12" s="49"/>
    </row>
    <row r="13" spans="2:33" ht="6.75" customHeight="1" x14ac:dyDescent="0.25"/>
    <row r="14" spans="2:33" ht="21.75" customHeight="1" x14ac:dyDescent="0.25">
      <c r="B14" s="52" t="s">
        <v>34</v>
      </c>
      <c r="C14" s="353" t="s">
        <v>37</v>
      </c>
      <c r="D14" s="354"/>
      <c r="E14" s="355"/>
      <c r="F14" s="341" t="s">
        <v>67</v>
      </c>
      <c r="G14" s="356"/>
      <c r="H14" s="341" t="s">
        <v>3</v>
      </c>
      <c r="I14" s="356"/>
      <c r="J14" s="341" t="s">
        <v>886</v>
      </c>
      <c r="K14" s="342"/>
      <c r="L14" s="342"/>
      <c r="M14" s="342"/>
      <c r="N14" s="341" t="s">
        <v>38</v>
      </c>
      <c r="O14" s="342"/>
      <c r="P14" s="342"/>
      <c r="Q14" s="342"/>
      <c r="S14" s="149"/>
      <c r="T14" s="149" t="s">
        <v>35</v>
      </c>
      <c r="U14" s="149"/>
      <c r="V14" s="149"/>
      <c r="W14" s="149"/>
      <c r="X14" s="149"/>
      <c r="Y14" s="149" t="s">
        <v>45</v>
      </c>
      <c r="Z14" s="149" t="s">
        <v>44</v>
      </c>
    </row>
    <row r="15" spans="2:33" ht="1.5" customHeight="1" x14ac:dyDescent="0.3">
      <c r="B15" s="314"/>
      <c r="C15" s="314"/>
      <c r="D15" s="314"/>
      <c r="E15" s="314"/>
      <c r="F15" s="314"/>
      <c r="G15" s="314"/>
      <c r="H15" s="314"/>
      <c r="I15" s="314"/>
      <c r="J15" s="314"/>
      <c r="K15" s="314"/>
      <c r="L15" s="314"/>
      <c r="M15" s="314"/>
      <c r="N15" s="219"/>
      <c r="O15" s="219"/>
      <c r="P15" s="219"/>
      <c r="Q15" s="219"/>
    </row>
    <row r="16" spans="2:33" ht="45.65" customHeight="1" thickBot="1" x14ac:dyDescent="0.35">
      <c r="B16" s="182">
        <v>1</v>
      </c>
      <c r="C16" s="310" t="s">
        <v>511</v>
      </c>
      <c r="D16" s="310"/>
      <c r="E16" s="310"/>
      <c r="F16" s="310" t="s">
        <v>512</v>
      </c>
      <c r="G16" s="310"/>
      <c r="H16" s="340" t="s">
        <v>42</v>
      </c>
      <c r="I16" s="340"/>
      <c r="J16" s="340" t="s">
        <v>29</v>
      </c>
      <c r="K16" s="340"/>
      <c r="L16" s="340"/>
      <c r="M16" s="340"/>
      <c r="N16" s="340"/>
      <c r="O16" s="340"/>
      <c r="P16" s="340"/>
      <c r="Q16" s="340"/>
      <c r="S16" s="74">
        <f>IF(H16="Nicht anwendbar","n.a.",0)</f>
        <v>0</v>
      </c>
      <c r="T16" s="75">
        <f>IF(H16="Vollständig",1,0)</f>
        <v>0</v>
      </c>
      <c r="U16" s="75">
        <f t="shared" ref="U16:U25" si="0">IF(H16="In den meisten Fällen",0.75,0)</f>
        <v>0</v>
      </c>
      <c r="V16" s="75">
        <f t="shared" ref="V16:V25" si="1">IF(H16="In ein Paar Fällen",0.5,0)</f>
        <v>0</v>
      </c>
      <c r="W16" s="75">
        <f t="shared" ref="W16:W25" si="2">IF(H16="Gar nicht",0,0)</f>
        <v>0</v>
      </c>
      <c r="X16" s="75">
        <f>IF(S16&gt;0,"n.a.",SUM(S16:W16))</f>
        <v>0</v>
      </c>
      <c r="Y16" s="48">
        <f>X16</f>
        <v>0</v>
      </c>
      <c r="Z16" s="48">
        <f>IF(Y16&lt;&gt;"n.a.",SUM(Y16,Y17,Y19,Y22,Y25),NA())</f>
        <v>0</v>
      </c>
      <c r="AG16" s="49" t="str">
        <f t="shared" ref="AG16:AG18" si="3">IF(X16&gt;0.5,"Umgesetzt","Nicht umgesetzt")</f>
        <v>Nicht umgesetzt</v>
      </c>
    </row>
    <row r="17" spans="2:33" ht="40" customHeight="1" thickBot="1" x14ac:dyDescent="0.3">
      <c r="B17" s="325">
        <v>2</v>
      </c>
      <c r="C17" s="343" t="s">
        <v>803</v>
      </c>
      <c r="D17" s="343"/>
      <c r="E17" s="343"/>
      <c r="F17" s="361" t="s">
        <v>513</v>
      </c>
      <c r="G17" s="362"/>
      <c r="H17" s="365" t="s">
        <v>42</v>
      </c>
      <c r="I17" s="365"/>
      <c r="J17" s="351" t="s">
        <v>958</v>
      </c>
      <c r="K17" s="352"/>
      <c r="L17" s="352"/>
      <c r="M17" s="352"/>
      <c r="N17" s="339"/>
      <c r="O17" s="339"/>
      <c r="P17" s="339"/>
      <c r="Q17" s="339"/>
      <c r="S17" s="49">
        <f t="shared" ref="S17:S27" si="4">IF(H17="Nicht anwendbar","n.a.",0)</f>
        <v>0</v>
      </c>
      <c r="T17" s="49">
        <f t="shared" ref="T17:T27" si="5">IF(H17="Vollständig",1,0)</f>
        <v>0</v>
      </c>
      <c r="U17" s="49">
        <f t="shared" si="0"/>
        <v>0</v>
      </c>
      <c r="V17" s="49">
        <f t="shared" si="1"/>
        <v>0</v>
      </c>
      <c r="W17" s="49">
        <f t="shared" si="2"/>
        <v>0</v>
      </c>
      <c r="X17" s="143">
        <f>IFERROR(SUM(T17:W18)/COUNTIF(H17:H18,"&lt;&gt;Nicht anwendbar"),"n.a.")</f>
        <v>0</v>
      </c>
      <c r="Y17" s="48">
        <f>IF(X16=1,X17,0)</f>
        <v>0</v>
      </c>
      <c r="AG17" s="49" t="str">
        <f t="shared" si="3"/>
        <v>Nicht umgesetzt</v>
      </c>
    </row>
    <row r="18" spans="2:33" ht="40" customHeight="1" thickBot="1" x14ac:dyDescent="0.3">
      <c r="B18" s="326"/>
      <c r="C18" s="308" t="s">
        <v>510</v>
      </c>
      <c r="D18" s="308"/>
      <c r="E18" s="308"/>
      <c r="F18" s="308"/>
      <c r="G18" s="308"/>
      <c r="H18" s="340" t="s">
        <v>42</v>
      </c>
      <c r="I18" s="340"/>
      <c r="J18" s="275"/>
      <c r="K18" s="275"/>
      <c r="L18" s="275"/>
      <c r="M18" s="275"/>
      <c r="N18" s="339"/>
      <c r="O18" s="339"/>
      <c r="P18" s="339"/>
      <c r="Q18" s="339"/>
      <c r="S18" s="75">
        <f t="shared" si="4"/>
        <v>0</v>
      </c>
      <c r="T18" s="75">
        <f t="shared" si="5"/>
        <v>0</v>
      </c>
      <c r="U18" s="75">
        <f t="shared" si="0"/>
        <v>0</v>
      </c>
      <c r="V18" s="75">
        <f t="shared" si="1"/>
        <v>0</v>
      </c>
      <c r="W18" s="75">
        <f t="shared" si="2"/>
        <v>0</v>
      </c>
      <c r="X18" s="75"/>
      <c r="AG18" s="49" t="str">
        <f t="shared" si="3"/>
        <v>Nicht umgesetzt</v>
      </c>
    </row>
    <row r="19" spans="2:33" ht="40" customHeight="1" thickBot="1" x14ac:dyDescent="0.3">
      <c r="B19" s="325">
        <v>3</v>
      </c>
      <c r="C19" s="344" t="s">
        <v>503</v>
      </c>
      <c r="D19" s="345"/>
      <c r="E19" s="345"/>
      <c r="F19" s="370" t="s">
        <v>514</v>
      </c>
      <c r="G19" s="371"/>
      <c r="H19" s="365" t="s">
        <v>42</v>
      </c>
      <c r="I19" s="365"/>
      <c r="J19" s="357" t="s">
        <v>959</v>
      </c>
      <c r="K19" s="358"/>
      <c r="L19" s="358"/>
      <c r="M19" s="358"/>
      <c r="N19" s="272"/>
      <c r="O19" s="272"/>
      <c r="P19" s="272"/>
      <c r="Q19" s="272"/>
      <c r="S19" s="48">
        <f t="shared" si="4"/>
        <v>0</v>
      </c>
      <c r="T19" s="49">
        <f t="shared" si="5"/>
        <v>0</v>
      </c>
      <c r="U19" s="49">
        <f t="shared" si="0"/>
        <v>0</v>
      </c>
      <c r="V19" s="49">
        <f t="shared" si="1"/>
        <v>0</v>
      </c>
      <c r="W19" s="49">
        <f t="shared" si="2"/>
        <v>0</v>
      </c>
      <c r="X19" s="143">
        <f>IFERROR(SUM(T19:W21)/COUNTIF(H19:H21,"&lt;&gt;Nicht anwendbar"),"n.a.")</f>
        <v>0</v>
      </c>
      <c r="Y19" s="48">
        <f>IF(Y17=1,X19,0)</f>
        <v>0</v>
      </c>
    </row>
    <row r="20" spans="2:33" ht="40" customHeight="1" thickBot="1" x14ac:dyDescent="0.3">
      <c r="B20" s="323"/>
      <c r="C20" s="347" t="s">
        <v>504</v>
      </c>
      <c r="D20" s="348"/>
      <c r="E20" s="348"/>
      <c r="F20" s="337"/>
      <c r="G20" s="337"/>
      <c r="H20" s="366" t="s">
        <v>42</v>
      </c>
      <c r="I20" s="366"/>
      <c r="J20" s="282"/>
      <c r="K20" s="282"/>
      <c r="L20" s="282"/>
      <c r="M20" s="282"/>
      <c r="N20" s="339"/>
      <c r="O20" s="339"/>
      <c r="P20" s="339"/>
      <c r="Q20" s="339"/>
      <c r="S20" s="48">
        <f t="shared" si="4"/>
        <v>0</v>
      </c>
      <c r="T20" s="49">
        <f t="shared" si="5"/>
        <v>0</v>
      </c>
      <c r="U20" s="49">
        <f t="shared" si="0"/>
        <v>0</v>
      </c>
      <c r="V20" s="49">
        <f t="shared" si="1"/>
        <v>0</v>
      </c>
      <c r="W20" s="49">
        <f t="shared" si="2"/>
        <v>0</v>
      </c>
    </row>
    <row r="21" spans="2:33" ht="40" customHeight="1" thickBot="1" x14ac:dyDescent="0.3">
      <c r="B21" s="326"/>
      <c r="C21" s="368" t="s">
        <v>505</v>
      </c>
      <c r="D21" s="368"/>
      <c r="E21" s="368"/>
      <c r="F21" s="386"/>
      <c r="G21" s="386"/>
      <c r="H21" s="340" t="s">
        <v>42</v>
      </c>
      <c r="I21" s="340"/>
      <c r="J21" s="270"/>
      <c r="K21" s="270"/>
      <c r="L21" s="270"/>
      <c r="M21" s="270"/>
      <c r="N21" s="339"/>
      <c r="O21" s="339"/>
      <c r="P21" s="339"/>
      <c r="Q21" s="339"/>
      <c r="S21" s="75">
        <f t="shared" si="4"/>
        <v>0</v>
      </c>
      <c r="T21" s="75">
        <f t="shared" si="5"/>
        <v>0</v>
      </c>
      <c r="U21" s="75">
        <f t="shared" si="0"/>
        <v>0</v>
      </c>
      <c r="V21" s="75">
        <f t="shared" si="1"/>
        <v>0</v>
      </c>
      <c r="W21" s="75">
        <f t="shared" si="2"/>
        <v>0</v>
      </c>
      <c r="X21" s="75"/>
    </row>
    <row r="22" spans="2:33" ht="40" customHeight="1" thickBot="1" x14ac:dyDescent="0.3">
      <c r="B22" s="325">
        <v>4</v>
      </c>
      <c r="C22" s="393" t="s">
        <v>1026</v>
      </c>
      <c r="D22" s="393"/>
      <c r="E22" s="393"/>
      <c r="F22" s="361" t="s">
        <v>515</v>
      </c>
      <c r="G22" s="362"/>
      <c r="H22" s="365" t="s">
        <v>42</v>
      </c>
      <c r="I22" s="365"/>
      <c r="J22" s="351" t="s">
        <v>960</v>
      </c>
      <c r="K22" s="352"/>
      <c r="L22" s="352"/>
      <c r="M22" s="352"/>
      <c r="N22" s="272"/>
      <c r="O22" s="272"/>
      <c r="P22" s="272"/>
      <c r="Q22" s="272"/>
      <c r="S22" s="49">
        <f t="shared" si="4"/>
        <v>0</v>
      </c>
      <c r="T22" s="49">
        <f t="shared" si="5"/>
        <v>0</v>
      </c>
      <c r="U22" s="49">
        <f t="shared" si="0"/>
        <v>0</v>
      </c>
      <c r="V22" s="49">
        <f t="shared" si="1"/>
        <v>0</v>
      </c>
      <c r="W22" s="49">
        <f t="shared" si="2"/>
        <v>0</v>
      </c>
      <c r="X22" s="143">
        <f>IFERROR(SUM(T22:W24)/COUNTIF(H22:H24,"&lt;&gt;Nicht anwendbar"),"n.a.")</f>
        <v>0</v>
      </c>
      <c r="Y22" s="48">
        <f>IF(Y19=1,X22,0)</f>
        <v>0</v>
      </c>
    </row>
    <row r="23" spans="2:33" ht="40" customHeight="1" thickBot="1" x14ac:dyDescent="0.3">
      <c r="B23" s="323"/>
      <c r="C23" s="330" t="s">
        <v>506</v>
      </c>
      <c r="D23" s="330"/>
      <c r="E23" s="330"/>
      <c r="F23" s="307"/>
      <c r="G23" s="307"/>
      <c r="H23" s="366" t="s">
        <v>42</v>
      </c>
      <c r="I23" s="366"/>
      <c r="J23" s="286"/>
      <c r="K23" s="286"/>
      <c r="L23" s="286"/>
      <c r="M23" s="286"/>
      <c r="N23" s="339"/>
      <c r="O23" s="339"/>
      <c r="P23" s="339"/>
      <c r="Q23" s="339"/>
      <c r="S23" s="49">
        <f t="shared" si="4"/>
        <v>0</v>
      </c>
      <c r="T23" s="49">
        <f t="shared" si="5"/>
        <v>0</v>
      </c>
      <c r="U23" s="49">
        <f t="shared" si="0"/>
        <v>0</v>
      </c>
      <c r="V23" s="49">
        <f t="shared" si="1"/>
        <v>0</v>
      </c>
      <c r="W23" s="49">
        <f t="shared" si="2"/>
        <v>0</v>
      </c>
      <c r="X23" s="49"/>
    </row>
    <row r="24" spans="2:33" ht="40" customHeight="1" thickBot="1" x14ac:dyDescent="0.3">
      <c r="B24" s="323"/>
      <c r="C24" s="413" t="s">
        <v>1027</v>
      </c>
      <c r="D24" s="413"/>
      <c r="E24" s="413"/>
      <c r="F24" s="308"/>
      <c r="G24" s="308"/>
      <c r="H24" s="340" t="s">
        <v>42</v>
      </c>
      <c r="I24" s="340"/>
      <c r="J24" s="275"/>
      <c r="K24" s="275"/>
      <c r="L24" s="275"/>
      <c r="M24" s="275"/>
      <c r="N24" s="339"/>
      <c r="O24" s="339"/>
      <c r="P24" s="339"/>
      <c r="Q24" s="339"/>
      <c r="S24" s="149">
        <f t="shared" si="4"/>
        <v>0</v>
      </c>
      <c r="T24" s="149">
        <f t="shared" si="5"/>
        <v>0</v>
      </c>
      <c r="U24" s="149">
        <f t="shared" si="0"/>
        <v>0</v>
      </c>
      <c r="V24" s="149">
        <f t="shared" si="1"/>
        <v>0</v>
      </c>
      <c r="W24" s="149">
        <f t="shared" si="2"/>
        <v>0</v>
      </c>
      <c r="X24" s="149"/>
    </row>
    <row r="25" spans="2:33" ht="40" customHeight="1" thickBot="1" x14ac:dyDescent="0.3">
      <c r="B25" s="325">
        <v>5</v>
      </c>
      <c r="C25" s="343" t="s">
        <v>507</v>
      </c>
      <c r="D25" s="343"/>
      <c r="E25" s="343"/>
      <c r="F25" s="361" t="s">
        <v>516</v>
      </c>
      <c r="G25" s="362"/>
      <c r="H25" s="365" t="s">
        <v>42</v>
      </c>
      <c r="I25" s="365"/>
      <c r="J25" s="351" t="s">
        <v>961</v>
      </c>
      <c r="K25" s="352"/>
      <c r="L25" s="352"/>
      <c r="M25" s="352"/>
      <c r="N25" s="272"/>
      <c r="O25" s="272"/>
      <c r="P25" s="272"/>
      <c r="Q25" s="272"/>
      <c r="S25" s="157">
        <f t="shared" si="4"/>
        <v>0</v>
      </c>
      <c r="T25" s="157">
        <f t="shared" si="5"/>
        <v>0</v>
      </c>
      <c r="U25" s="157">
        <f t="shared" si="0"/>
        <v>0</v>
      </c>
      <c r="V25" s="157">
        <f t="shared" si="1"/>
        <v>0</v>
      </c>
      <c r="W25" s="157">
        <f t="shared" si="2"/>
        <v>0</v>
      </c>
      <c r="X25" s="143">
        <f>IFERROR(SUM(T25:W27)/COUNTIF(H25:H27,"&lt;&gt;Nicht anwendbar"),"n.a.")</f>
        <v>0</v>
      </c>
      <c r="Y25" s="48">
        <f>IF(Y22=1,X25,0)</f>
        <v>0</v>
      </c>
    </row>
    <row r="26" spans="2:33" ht="40" customHeight="1" thickBot="1" x14ac:dyDescent="0.3">
      <c r="B26" s="323"/>
      <c r="C26" s="330" t="s">
        <v>509</v>
      </c>
      <c r="D26" s="330"/>
      <c r="E26" s="330"/>
      <c r="F26" s="350"/>
      <c r="G26" s="307"/>
      <c r="H26" s="366" t="s">
        <v>42</v>
      </c>
      <c r="I26" s="366"/>
      <c r="J26" s="286"/>
      <c r="K26" s="286"/>
      <c r="L26" s="286"/>
      <c r="M26" s="286"/>
      <c r="N26" s="339"/>
      <c r="O26" s="339"/>
      <c r="P26" s="339"/>
      <c r="Q26" s="339"/>
      <c r="S26" s="49">
        <f t="shared" si="4"/>
        <v>0</v>
      </c>
      <c r="T26" s="49">
        <f t="shared" si="5"/>
        <v>0</v>
      </c>
      <c r="U26" s="49">
        <f t="shared" ref="U26" si="6">IF(H26="In den meisten Fällen",0.75,0)</f>
        <v>0</v>
      </c>
      <c r="V26" s="49">
        <f t="shared" ref="V26" si="7">IF(H26="In ein Paar Fällen",0.5,0)</f>
        <v>0</v>
      </c>
      <c r="W26" s="49">
        <f t="shared" ref="W26" si="8">IF(H26="Gar nicht",0,0)</f>
        <v>0</v>
      </c>
      <c r="X26" s="49"/>
    </row>
    <row r="27" spans="2:33" ht="40" customHeight="1" thickBot="1" x14ac:dyDescent="0.3">
      <c r="B27" s="326"/>
      <c r="C27" s="310" t="s">
        <v>508</v>
      </c>
      <c r="D27" s="310"/>
      <c r="E27" s="310"/>
      <c r="F27" s="308"/>
      <c r="G27" s="308"/>
      <c r="H27" s="340" t="s">
        <v>42</v>
      </c>
      <c r="I27" s="340"/>
      <c r="J27" s="275"/>
      <c r="K27" s="275"/>
      <c r="L27" s="275"/>
      <c r="M27" s="275"/>
      <c r="N27" s="309"/>
      <c r="O27" s="309"/>
      <c r="P27" s="309"/>
      <c r="Q27" s="309"/>
      <c r="S27" s="149">
        <f t="shared" si="4"/>
        <v>0</v>
      </c>
      <c r="T27" s="149">
        <f t="shared" si="5"/>
        <v>0</v>
      </c>
      <c r="U27" s="149">
        <f>IF(H27="In den meisten Fällen",0.75,0)</f>
        <v>0</v>
      </c>
      <c r="V27" s="149">
        <f>IF(H27="In ein Paar Fällen",0.5,0)</f>
        <v>0</v>
      </c>
      <c r="W27" s="149">
        <f>IF(H27="Gar nicht",0,0)</f>
        <v>0</v>
      </c>
      <c r="X27" s="149"/>
    </row>
  </sheetData>
  <sheetProtection formatCells="0"/>
  <protectedRanges>
    <protectedRange sqref="N31:Q32" name="Bereich1"/>
    <protectedRange sqref="N19:Q19 N22:Q22 N25:Q25" name="Bereich1_1"/>
  </protectedRanges>
  <mergeCells count="62">
    <mergeCell ref="B25:B27"/>
    <mergeCell ref="C25:E25"/>
    <mergeCell ref="F25:G27"/>
    <mergeCell ref="H25:I25"/>
    <mergeCell ref="C27:E27"/>
    <mergeCell ref="H27:I27"/>
    <mergeCell ref="C26:E26"/>
    <mergeCell ref="H26:I26"/>
    <mergeCell ref="B22:B24"/>
    <mergeCell ref="C22:E22"/>
    <mergeCell ref="F22:G24"/>
    <mergeCell ref="H22:I22"/>
    <mergeCell ref="C23:E23"/>
    <mergeCell ref="H23:I23"/>
    <mergeCell ref="C24:E24"/>
    <mergeCell ref="H24:I24"/>
    <mergeCell ref="B17:B18"/>
    <mergeCell ref="C21:E21"/>
    <mergeCell ref="H21:I21"/>
    <mergeCell ref="B19:B21"/>
    <mergeCell ref="C19:E19"/>
    <mergeCell ref="F19:G21"/>
    <mergeCell ref="H19:I19"/>
    <mergeCell ref="C20:E20"/>
    <mergeCell ref="H20:I20"/>
    <mergeCell ref="F16:G16"/>
    <mergeCell ref="H16:I16"/>
    <mergeCell ref="J16:M16"/>
    <mergeCell ref="C17:E17"/>
    <mergeCell ref="F17:G18"/>
    <mergeCell ref="H17:I17"/>
    <mergeCell ref="C18:E18"/>
    <mergeCell ref="H18:I18"/>
    <mergeCell ref="J25:M27"/>
    <mergeCell ref="J22:M24"/>
    <mergeCell ref="B15:M15"/>
    <mergeCell ref="B4:M4"/>
    <mergeCell ref="C6:G6"/>
    <mergeCell ref="C7:M7"/>
    <mergeCell ref="C8:M8"/>
    <mergeCell ref="C9:M9"/>
    <mergeCell ref="C10:M10"/>
    <mergeCell ref="C14:E14"/>
    <mergeCell ref="F14:G14"/>
    <mergeCell ref="H14:I14"/>
    <mergeCell ref="J14:M14"/>
    <mergeCell ref="J17:M18"/>
    <mergeCell ref="J19:M21"/>
    <mergeCell ref="C16:E16"/>
    <mergeCell ref="N14:Q14"/>
    <mergeCell ref="N16:Q16"/>
    <mergeCell ref="N17:Q17"/>
    <mergeCell ref="N18:Q18"/>
    <mergeCell ref="N19:Q19"/>
    <mergeCell ref="N25:Q25"/>
    <mergeCell ref="N26:Q26"/>
    <mergeCell ref="N27:Q27"/>
    <mergeCell ref="N20:Q20"/>
    <mergeCell ref="N21:Q21"/>
    <mergeCell ref="N22:Q22"/>
    <mergeCell ref="N23:Q23"/>
    <mergeCell ref="N24:Q24"/>
  </mergeCells>
  <conditionalFormatting sqref="H27:I27 H16:I25">
    <cfRule type="containsText" dxfId="37" priority="2" operator="containsText" text="Bitte auswählen">
      <formula>NOT(ISERROR(SEARCH("Bitte auswählen",H16)))</formula>
    </cfRule>
  </conditionalFormatting>
  <conditionalFormatting sqref="H26:I26">
    <cfRule type="containsText" dxfId="36" priority="1" operator="containsText" text="Bitte auswählen">
      <formula>NOT(ISERROR(SEARCH("Bitte auswählen",H26)))</formula>
    </cfRule>
  </conditionalFormatting>
  <dataValidations xWindow="756" yWindow="398" count="2">
    <dataValidation allowBlank="1" showInputMessage="1" showErrorMessage="1" promptTitle="[+] Klicken" prompt="Hier können Sie sich erweiterte Informationen zu dem Prozess anzeigen lassen." sqref="A11" xr:uid="{699457A9-BF18-4D52-8DB1-AA91BB998008}"/>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E68059A3-7A4F-49E7-AF67-A878F41B1A30}"/>
  </dataValidations>
  <hyperlinks>
    <hyperlink ref="C22:E22" location="Glossar!A1" display="Sind die Module über Identifikatoren (z.B. URIs) eindeutig zugänglich?" xr:uid="{7D0F91E4-2F3C-45B4-B4F8-911C1ABB22BA}"/>
    <hyperlink ref="C24:E24" location="Glossar!A1" display="Unterstützen Systeme (z. B. CCMS) die Verwaltung und Auslieferung dieser granularen Inhalte?" xr:uid="{4B004044-AB3C-47B1-B51F-63555A3EC75A}"/>
  </hyperlink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756" yWindow="398" count="1">
        <x14:dataValidation type="list" allowBlank="1" showInputMessage="1" showErrorMessage="1" xr:uid="{B85D21EC-76F0-4B86-82F2-1383E22A3C48}">
          <x14:formula1>
            <xm:f>Data!$I$3:$I$8</xm:f>
          </x14:formula1>
          <xm:sqref>H16:I27</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7AC3C-2013-482B-B692-E67643F433BF}">
  <sheetPr>
    <tabColor rgb="FF333399"/>
    <pageSetUpPr fitToPage="1"/>
  </sheetPr>
  <dimension ref="B4:AG25"/>
  <sheetViews>
    <sheetView showGridLines="0" zoomScale="90" zoomScaleNormal="90" zoomScalePageLayoutView="85" workbookViewId="0"/>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68.54296875" style="48" hidden="1" customWidth="1" outlineLevel="1"/>
    <col min="7" max="7" width="26.453125" style="48" hidden="1" customWidth="1" outlineLevel="1"/>
    <col min="8" max="8" width="11.453125" style="48" collapsed="1"/>
    <col min="9" max="10" width="11.453125" style="48"/>
    <col min="11" max="11" width="13.26953125" style="48" customWidth="1"/>
    <col min="12" max="12" width="11.453125" style="48"/>
    <col min="13" max="13" width="36.26953125" style="48" customWidth="1"/>
    <col min="14" max="14" width="11.453125" style="48"/>
    <col min="15" max="15" width="13.26953125" style="48" customWidth="1"/>
    <col min="16" max="16" width="11.453125" style="48"/>
    <col min="17" max="17" width="24.81640625" style="48" customWidth="1"/>
    <col min="18" max="18" width="11.453125" style="49"/>
    <col min="19" max="24" width="11.453125" style="48" customWidth="1"/>
    <col min="25" max="25" width="14" style="48" customWidth="1"/>
    <col min="26" max="32" width="11.453125" style="48" customWidth="1"/>
    <col min="33" max="33" width="11.453125" style="48" hidden="1" customWidth="1"/>
    <col min="34" max="16384" width="11.453125" style="48"/>
  </cols>
  <sheetData>
    <row r="4" spans="2:33" ht="14" x14ac:dyDescent="0.3">
      <c r="B4" s="290" t="s">
        <v>39</v>
      </c>
      <c r="C4" s="290"/>
      <c r="D4" s="290"/>
      <c r="E4" s="290"/>
      <c r="F4" s="290"/>
      <c r="G4" s="290"/>
      <c r="H4" s="290"/>
      <c r="I4" s="290"/>
      <c r="J4" s="290"/>
      <c r="K4" s="290"/>
      <c r="L4" s="290"/>
      <c r="M4" s="290"/>
      <c r="N4" s="216"/>
      <c r="O4" s="216"/>
      <c r="P4" s="216"/>
      <c r="Q4" s="216"/>
    </row>
    <row r="5" spans="2:33" ht="9" customHeight="1" x14ac:dyDescent="0.25"/>
    <row r="6" spans="2:33" ht="32.25" customHeight="1" thickBot="1" x14ac:dyDescent="0.3">
      <c r="B6" s="162" t="s">
        <v>116</v>
      </c>
      <c r="C6" s="293" t="s">
        <v>517</v>
      </c>
      <c r="D6" s="293"/>
      <c r="E6" s="293"/>
      <c r="F6" s="293"/>
      <c r="G6" s="293"/>
      <c r="H6" s="53"/>
      <c r="I6" s="53"/>
      <c r="J6" s="53"/>
      <c r="K6" s="53" t="s">
        <v>36</v>
      </c>
      <c r="L6" s="55">
        <f>ROUNDDOWN(Z16/0.25,0)*0.25</f>
        <v>0</v>
      </c>
      <c r="M6" s="54" t="str">
        <f>IF(L6&lt;1,"Unvollständig",IF(L6&lt;2,"Initial",IF(L6&lt;3,"Gemanagt",IF(L6&lt;4,"Definiert",IF(L6&lt;5,"Quantitativ gemanagt",IF(L6&lt;6,"Optimiert","Ausstehend"))))))</f>
        <v>Unvollständig</v>
      </c>
      <c r="N6" s="53"/>
      <c r="O6" s="53"/>
      <c r="P6" s="55"/>
      <c r="Q6" s="54"/>
    </row>
    <row r="7" spans="2:33" ht="35.25" hidden="1" customHeight="1" outlineLevel="1" x14ac:dyDescent="0.25">
      <c r="B7" s="76" t="s">
        <v>211</v>
      </c>
      <c r="C7" s="294" t="s">
        <v>519</v>
      </c>
      <c r="D7" s="295"/>
      <c r="E7" s="295"/>
      <c r="F7" s="295"/>
      <c r="G7" s="295"/>
      <c r="H7" s="295"/>
      <c r="I7" s="295"/>
      <c r="J7" s="295"/>
      <c r="K7" s="295"/>
      <c r="L7" s="295"/>
      <c r="M7" s="296"/>
      <c r="N7" s="218"/>
      <c r="O7" s="218"/>
      <c r="P7" s="218"/>
      <c r="Q7" s="218"/>
    </row>
    <row r="8" spans="2:33" ht="70.5" hidden="1" customHeight="1" outlineLevel="1" x14ac:dyDescent="0.25">
      <c r="B8" s="51" t="s">
        <v>212</v>
      </c>
      <c r="C8" s="297" t="s">
        <v>520</v>
      </c>
      <c r="D8" s="298"/>
      <c r="E8" s="298"/>
      <c r="F8" s="298"/>
      <c r="G8" s="298"/>
      <c r="H8" s="298"/>
      <c r="I8" s="298"/>
      <c r="J8" s="298"/>
      <c r="K8" s="298"/>
      <c r="L8" s="298"/>
      <c r="M8" s="299"/>
      <c r="N8" s="217"/>
      <c r="O8" s="217"/>
      <c r="P8" s="217"/>
      <c r="Q8" s="217"/>
    </row>
    <row r="9" spans="2:33" ht="75" hidden="1" customHeight="1" outlineLevel="1" x14ac:dyDescent="0.25">
      <c r="B9" s="51" t="s">
        <v>30</v>
      </c>
      <c r="C9" s="300" t="s">
        <v>521</v>
      </c>
      <c r="D9" s="301"/>
      <c r="E9" s="301"/>
      <c r="F9" s="301"/>
      <c r="G9" s="301"/>
      <c r="H9" s="301"/>
      <c r="I9" s="301"/>
      <c r="J9" s="301"/>
      <c r="K9" s="301"/>
      <c r="L9" s="301"/>
      <c r="M9" s="302"/>
      <c r="N9" s="218"/>
      <c r="O9" s="218"/>
      <c r="P9" s="218"/>
      <c r="Q9" s="218"/>
    </row>
    <row r="10" spans="2:33" ht="65.25" hidden="1" customHeight="1" outlineLevel="1" x14ac:dyDescent="0.25">
      <c r="B10" s="51" t="s">
        <v>31</v>
      </c>
      <c r="C10" s="300" t="s">
        <v>522</v>
      </c>
      <c r="D10" s="301"/>
      <c r="E10" s="301"/>
      <c r="F10" s="301"/>
      <c r="G10" s="301"/>
      <c r="H10" s="301"/>
      <c r="I10" s="301"/>
      <c r="J10" s="301"/>
      <c r="K10" s="301"/>
      <c r="L10" s="301"/>
      <c r="M10" s="302"/>
      <c r="N10" s="218"/>
      <c r="O10" s="218"/>
      <c r="P10" s="218"/>
      <c r="Q10" s="218"/>
    </row>
    <row r="11" spans="2:33" collapsed="1" x14ac:dyDescent="0.25"/>
    <row r="12" spans="2:33" ht="13" x14ac:dyDescent="0.3">
      <c r="B12" s="50" t="s">
        <v>33</v>
      </c>
      <c r="C12" s="49"/>
    </row>
    <row r="13" spans="2:33" ht="6.75" customHeight="1" x14ac:dyDescent="0.25"/>
    <row r="14" spans="2:33" ht="21.75" customHeight="1" x14ac:dyDescent="0.25">
      <c r="B14" s="52" t="s">
        <v>34</v>
      </c>
      <c r="C14" s="353" t="s">
        <v>37</v>
      </c>
      <c r="D14" s="354"/>
      <c r="E14" s="355"/>
      <c r="F14" s="341" t="s">
        <v>67</v>
      </c>
      <c r="G14" s="356"/>
      <c r="H14" s="341" t="s">
        <v>3</v>
      </c>
      <c r="I14" s="356"/>
      <c r="J14" s="341" t="s">
        <v>886</v>
      </c>
      <c r="K14" s="342"/>
      <c r="L14" s="342"/>
      <c r="M14" s="342"/>
      <c r="N14" s="341" t="s">
        <v>38</v>
      </c>
      <c r="O14" s="342"/>
      <c r="P14" s="342"/>
      <c r="Q14" s="342"/>
      <c r="S14" s="149"/>
      <c r="T14" s="149" t="s">
        <v>35</v>
      </c>
      <c r="U14" s="149"/>
      <c r="V14" s="149"/>
      <c r="W14" s="149"/>
      <c r="X14" s="149"/>
      <c r="Y14" s="149" t="s">
        <v>45</v>
      </c>
      <c r="Z14" s="149" t="s">
        <v>44</v>
      </c>
    </row>
    <row r="15" spans="2:33" ht="1.5" customHeight="1" x14ac:dyDescent="0.3">
      <c r="B15" s="314"/>
      <c r="C15" s="314"/>
      <c r="D15" s="314"/>
      <c r="E15" s="314"/>
      <c r="F15" s="314"/>
      <c r="G15" s="314"/>
      <c r="H15" s="314"/>
      <c r="I15" s="314"/>
      <c r="J15" s="314"/>
      <c r="K15" s="314"/>
      <c r="L15" s="314"/>
      <c r="M15" s="314"/>
      <c r="N15" s="219"/>
      <c r="O15" s="219"/>
      <c r="P15" s="219"/>
      <c r="Q15" s="219"/>
    </row>
    <row r="16" spans="2:33" ht="40" customHeight="1" thickBot="1" x14ac:dyDescent="0.35">
      <c r="B16" s="182">
        <v>1</v>
      </c>
      <c r="C16" s="310" t="s">
        <v>1144</v>
      </c>
      <c r="D16" s="310"/>
      <c r="E16" s="310"/>
      <c r="F16" s="310" t="s">
        <v>529</v>
      </c>
      <c r="G16" s="310"/>
      <c r="H16" s="340" t="s">
        <v>42</v>
      </c>
      <c r="I16" s="340"/>
      <c r="J16" s="340" t="s">
        <v>29</v>
      </c>
      <c r="K16" s="340"/>
      <c r="L16" s="340"/>
      <c r="M16" s="340"/>
      <c r="N16" s="340"/>
      <c r="O16" s="340"/>
      <c r="P16" s="340"/>
      <c r="Q16" s="340"/>
      <c r="S16" s="74">
        <f>IF(H16="Nicht anwendbar","n.a.",0)</f>
        <v>0</v>
      </c>
      <c r="T16" s="75">
        <f>IF(H16="Vollständig",1,0)</f>
        <v>0</v>
      </c>
      <c r="U16" s="75">
        <f>IF(H16="In den meisten Fällen",0.75,0)</f>
        <v>0</v>
      </c>
      <c r="V16" s="75">
        <f>IF(H16="In ein Paar Fällen",0.5,0)</f>
        <v>0</v>
      </c>
      <c r="W16" s="75">
        <f>IF(H16="Gar nicht",0,0)</f>
        <v>0</v>
      </c>
      <c r="X16" s="75">
        <f>IF(S16&gt;0,"n.a.",SUM(S16:W16))</f>
        <v>0</v>
      </c>
      <c r="Y16" s="48">
        <f>X16</f>
        <v>0</v>
      </c>
      <c r="Z16" s="48">
        <f>IF(Y16&lt;&gt;"n.a.",SUM(Y16,Y17,Y19,Y21,Y23),NA())</f>
        <v>0</v>
      </c>
      <c r="AG16" s="49" t="str">
        <f t="shared" ref="AG16:AG18" si="0">IF(X16&gt;0.5,"Umgesetzt","Nicht umgesetzt")</f>
        <v>Nicht umgesetzt</v>
      </c>
    </row>
    <row r="17" spans="2:33" ht="40" customHeight="1" thickBot="1" x14ac:dyDescent="0.3">
      <c r="B17" s="325">
        <v>2</v>
      </c>
      <c r="C17" s="343" t="s">
        <v>1145</v>
      </c>
      <c r="D17" s="343"/>
      <c r="E17" s="343"/>
      <c r="F17" s="361" t="s">
        <v>530</v>
      </c>
      <c r="G17" s="362"/>
      <c r="H17" s="365" t="s">
        <v>42</v>
      </c>
      <c r="I17" s="365"/>
      <c r="J17" s="351" t="s">
        <v>962</v>
      </c>
      <c r="K17" s="352"/>
      <c r="L17" s="352"/>
      <c r="M17" s="352"/>
      <c r="N17" s="339"/>
      <c r="O17" s="339"/>
      <c r="P17" s="339"/>
      <c r="Q17" s="339"/>
      <c r="S17" s="49">
        <f t="shared" ref="S17:S25" si="1">IF(H17="Nicht anwendbar","n.a.",0)</f>
        <v>0</v>
      </c>
      <c r="T17" s="49">
        <f t="shared" ref="T17:T25" si="2">IF(H17="Vollständig",1,0)</f>
        <v>0</v>
      </c>
      <c r="U17" s="49">
        <f>IF(H17="In den meisten Fällen",0.75,0)</f>
        <v>0</v>
      </c>
      <c r="V17" s="49">
        <f>IF(H17="In ein Paar Fällen",0.5,0)</f>
        <v>0</v>
      </c>
      <c r="W17" s="49">
        <f>IF(H17="Gar nicht",0,0)</f>
        <v>0</v>
      </c>
      <c r="X17" s="143">
        <f>IFERROR(SUM(T17:W18)/COUNTIF(H17:H18,"&lt;&gt;Nicht anwendbar"),"n.a.")</f>
        <v>0</v>
      </c>
      <c r="Y17" s="48">
        <f>IF(X16=1,X17,0)</f>
        <v>0</v>
      </c>
      <c r="AG17" s="49" t="str">
        <f t="shared" si="0"/>
        <v>Nicht umgesetzt</v>
      </c>
    </row>
    <row r="18" spans="2:33" ht="40" customHeight="1" thickBot="1" x14ac:dyDescent="0.3">
      <c r="B18" s="326"/>
      <c r="C18" s="310" t="s">
        <v>1146</v>
      </c>
      <c r="D18" s="310"/>
      <c r="E18" s="310"/>
      <c r="F18" s="308"/>
      <c r="G18" s="308"/>
      <c r="H18" s="340" t="s">
        <v>42</v>
      </c>
      <c r="I18" s="340"/>
      <c r="J18" s="275"/>
      <c r="K18" s="275"/>
      <c r="L18" s="275"/>
      <c r="M18" s="275"/>
      <c r="N18" s="339"/>
      <c r="O18" s="339"/>
      <c r="P18" s="339"/>
      <c r="Q18" s="339"/>
      <c r="S18" s="75">
        <f t="shared" si="1"/>
        <v>0</v>
      </c>
      <c r="T18" s="75">
        <f t="shared" si="2"/>
        <v>0</v>
      </c>
      <c r="U18" s="75">
        <f t="shared" ref="U18:U25" si="3">IF(H18="In den meisten Fällen",0.75,0)</f>
        <v>0</v>
      </c>
      <c r="V18" s="75">
        <f t="shared" ref="V18:V25" si="4">IF(H18="In ein Paar Fällen",0.5,0)</f>
        <v>0</v>
      </c>
      <c r="W18" s="75">
        <f t="shared" ref="W18:W25" si="5">IF(H18="Gar nicht",0,0)</f>
        <v>0</v>
      </c>
      <c r="X18" s="75"/>
      <c r="AG18" s="49" t="str">
        <f t="shared" si="0"/>
        <v>Nicht umgesetzt</v>
      </c>
    </row>
    <row r="19" spans="2:33" ht="40" customHeight="1" thickBot="1" x14ac:dyDescent="0.3">
      <c r="B19" s="325">
        <v>3</v>
      </c>
      <c r="C19" s="344" t="s">
        <v>523</v>
      </c>
      <c r="D19" s="345"/>
      <c r="E19" s="345"/>
      <c r="F19" s="370" t="s">
        <v>531</v>
      </c>
      <c r="G19" s="371"/>
      <c r="H19" s="365" t="s">
        <v>42</v>
      </c>
      <c r="I19" s="365"/>
      <c r="J19" s="357" t="s">
        <v>963</v>
      </c>
      <c r="K19" s="358"/>
      <c r="L19" s="358"/>
      <c r="M19" s="358"/>
      <c r="N19" s="272"/>
      <c r="O19" s="272"/>
      <c r="P19" s="272"/>
      <c r="Q19" s="272"/>
      <c r="S19" s="48">
        <f t="shared" si="1"/>
        <v>0</v>
      </c>
      <c r="T19" s="49">
        <f t="shared" si="2"/>
        <v>0</v>
      </c>
      <c r="U19" s="49">
        <f t="shared" si="3"/>
        <v>0</v>
      </c>
      <c r="V19" s="49">
        <f t="shared" si="4"/>
        <v>0</v>
      </c>
      <c r="W19" s="49">
        <f t="shared" si="5"/>
        <v>0</v>
      </c>
      <c r="X19" s="143">
        <f>IFERROR(SUM(T19:W20)/COUNTIF(H19:H20,"&lt;&gt;Nicht anwendbar"),"n.a.")</f>
        <v>0</v>
      </c>
      <c r="Y19" s="48">
        <f>IF(Y17=1,X19,0)</f>
        <v>0</v>
      </c>
    </row>
    <row r="20" spans="2:33" ht="40" customHeight="1" thickBot="1" x14ac:dyDescent="0.3">
      <c r="B20" s="326"/>
      <c r="C20" s="368" t="s">
        <v>526</v>
      </c>
      <c r="D20" s="368"/>
      <c r="E20" s="368"/>
      <c r="F20" s="386"/>
      <c r="G20" s="386"/>
      <c r="H20" s="340" t="s">
        <v>42</v>
      </c>
      <c r="I20" s="340"/>
      <c r="J20" s="270"/>
      <c r="K20" s="270"/>
      <c r="L20" s="270"/>
      <c r="M20" s="270"/>
      <c r="N20" s="339"/>
      <c r="O20" s="339"/>
      <c r="P20" s="339"/>
      <c r="Q20" s="339"/>
      <c r="S20" s="75">
        <f t="shared" si="1"/>
        <v>0</v>
      </c>
      <c r="T20" s="75">
        <f t="shared" si="2"/>
        <v>0</v>
      </c>
      <c r="U20" s="75">
        <f t="shared" si="3"/>
        <v>0</v>
      </c>
      <c r="V20" s="75">
        <f t="shared" si="4"/>
        <v>0</v>
      </c>
      <c r="W20" s="75">
        <f t="shared" si="5"/>
        <v>0</v>
      </c>
      <c r="X20" s="75"/>
    </row>
    <row r="21" spans="2:33" ht="40" customHeight="1" thickBot="1" x14ac:dyDescent="0.3">
      <c r="B21" s="325">
        <v>4</v>
      </c>
      <c r="C21" s="343" t="s">
        <v>524</v>
      </c>
      <c r="D21" s="343"/>
      <c r="E21" s="343"/>
      <c r="F21" s="361" t="s">
        <v>532</v>
      </c>
      <c r="G21" s="362"/>
      <c r="H21" s="365" t="s">
        <v>42</v>
      </c>
      <c r="I21" s="365"/>
      <c r="J21" s="351" t="s">
        <v>964</v>
      </c>
      <c r="K21" s="352"/>
      <c r="L21" s="352"/>
      <c r="M21" s="352"/>
      <c r="N21" s="272"/>
      <c r="O21" s="272"/>
      <c r="P21" s="272"/>
      <c r="Q21" s="272"/>
      <c r="S21" s="49">
        <f t="shared" si="1"/>
        <v>0</v>
      </c>
      <c r="T21" s="49">
        <f t="shared" si="2"/>
        <v>0</v>
      </c>
      <c r="U21" s="49">
        <f t="shared" si="3"/>
        <v>0</v>
      </c>
      <c r="V21" s="49">
        <f t="shared" si="4"/>
        <v>0</v>
      </c>
      <c r="W21" s="49">
        <f t="shared" si="5"/>
        <v>0</v>
      </c>
      <c r="X21" s="143">
        <f>IFERROR(SUM(T21:W22)/COUNTIF(H21:H22,"&lt;&gt;Nicht anwendbar"),"n.a.")</f>
        <v>0</v>
      </c>
      <c r="Y21" s="48">
        <f>IF(Y19=1,X21,0)</f>
        <v>0</v>
      </c>
    </row>
    <row r="22" spans="2:33" ht="40" customHeight="1" thickBot="1" x14ac:dyDescent="0.3">
      <c r="B22" s="323"/>
      <c r="C22" s="350" t="s">
        <v>527</v>
      </c>
      <c r="D22" s="350"/>
      <c r="E22" s="350"/>
      <c r="F22" s="308"/>
      <c r="G22" s="308"/>
      <c r="H22" s="340" t="s">
        <v>42</v>
      </c>
      <c r="I22" s="340"/>
      <c r="J22" s="275"/>
      <c r="K22" s="275"/>
      <c r="L22" s="275"/>
      <c r="M22" s="275"/>
      <c r="N22" s="339"/>
      <c r="O22" s="339"/>
      <c r="P22" s="339"/>
      <c r="Q22" s="339"/>
      <c r="S22" s="149">
        <f t="shared" si="1"/>
        <v>0</v>
      </c>
      <c r="T22" s="149">
        <f t="shared" si="2"/>
        <v>0</v>
      </c>
      <c r="U22" s="149">
        <f t="shared" si="3"/>
        <v>0</v>
      </c>
      <c r="V22" s="149">
        <f t="shared" si="4"/>
        <v>0</v>
      </c>
      <c r="W22" s="149">
        <f t="shared" si="5"/>
        <v>0</v>
      </c>
      <c r="X22" s="149"/>
    </row>
    <row r="23" spans="2:33" ht="40" customHeight="1" thickBot="1" x14ac:dyDescent="0.3">
      <c r="B23" s="325">
        <v>5</v>
      </c>
      <c r="C23" s="343" t="s">
        <v>525</v>
      </c>
      <c r="D23" s="343"/>
      <c r="E23" s="343"/>
      <c r="F23" s="361" t="s">
        <v>533</v>
      </c>
      <c r="G23" s="362"/>
      <c r="H23" s="365" t="s">
        <v>42</v>
      </c>
      <c r="I23" s="365"/>
      <c r="J23" s="351" t="s">
        <v>965</v>
      </c>
      <c r="K23" s="352"/>
      <c r="L23" s="352"/>
      <c r="M23" s="352"/>
      <c r="N23" s="272"/>
      <c r="O23" s="272"/>
      <c r="P23" s="272"/>
      <c r="Q23" s="272"/>
      <c r="S23" s="157">
        <f t="shared" si="1"/>
        <v>0</v>
      </c>
      <c r="T23" s="157">
        <f t="shared" si="2"/>
        <v>0</v>
      </c>
      <c r="U23" s="157">
        <f t="shared" si="3"/>
        <v>0</v>
      </c>
      <c r="V23" s="157">
        <f t="shared" si="4"/>
        <v>0</v>
      </c>
      <c r="W23" s="157">
        <f t="shared" si="5"/>
        <v>0</v>
      </c>
      <c r="X23" s="143">
        <f>IFERROR(SUM(T23:W25)/COUNTIF(H23:H25,"&lt;&gt;Nicht anwendbar"),"n.a.")</f>
        <v>0</v>
      </c>
      <c r="Y23" s="48">
        <f>IF(Y21=1,X23,0)</f>
        <v>0</v>
      </c>
    </row>
    <row r="24" spans="2:33" ht="40" customHeight="1" thickBot="1" x14ac:dyDescent="0.3">
      <c r="B24" s="323"/>
      <c r="C24" s="330" t="s">
        <v>528</v>
      </c>
      <c r="D24" s="330"/>
      <c r="E24" s="330"/>
      <c r="F24" s="350"/>
      <c r="G24" s="307"/>
      <c r="H24" s="366" t="s">
        <v>42</v>
      </c>
      <c r="I24" s="366"/>
      <c r="J24" s="286"/>
      <c r="K24" s="286"/>
      <c r="L24" s="286"/>
      <c r="M24" s="286"/>
      <c r="N24" s="339"/>
      <c r="O24" s="339"/>
      <c r="P24" s="339"/>
      <c r="Q24" s="339"/>
      <c r="S24" s="49">
        <f t="shared" si="1"/>
        <v>0</v>
      </c>
      <c r="T24" s="49">
        <f t="shared" si="2"/>
        <v>0</v>
      </c>
      <c r="U24" s="49">
        <f t="shared" ref="U24" si="6">IF(H24="In den meisten Fällen",0.75,0)</f>
        <v>0</v>
      </c>
      <c r="V24" s="49">
        <f t="shared" ref="V24" si="7">IF(H24="In ein Paar Fällen",0.5,0)</f>
        <v>0</v>
      </c>
      <c r="W24" s="49">
        <f t="shared" ref="W24" si="8">IF(H24="Gar nicht",0,0)</f>
        <v>0</v>
      </c>
      <c r="X24" s="49"/>
    </row>
    <row r="25" spans="2:33" ht="40" customHeight="1" thickBot="1" x14ac:dyDescent="0.3">
      <c r="B25" s="326"/>
      <c r="C25" s="392" t="s">
        <v>1029</v>
      </c>
      <c r="D25" s="392"/>
      <c r="E25" s="392"/>
      <c r="F25" s="308"/>
      <c r="G25" s="308"/>
      <c r="H25" s="340" t="s">
        <v>42</v>
      </c>
      <c r="I25" s="340"/>
      <c r="J25" s="275"/>
      <c r="K25" s="275"/>
      <c r="L25" s="275"/>
      <c r="M25" s="275"/>
      <c r="N25" s="309"/>
      <c r="O25" s="309"/>
      <c r="P25" s="309"/>
      <c r="Q25" s="309"/>
      <c r="S25" s="149">
        <f t="shared" si="1"/>
        <v>0</v>
      </c>
      <c r="T25" s="149">
        <f t="shared" si="2"/>
        <v>0</v>
      </c>
      <c r="U25" s="149">
        <f t="shared" si="3"/>
        <v>0</v>
      </c>
      <c r="V25" s="149">
        <f t="shared" si="4"/>
        <v>0</v>
      </c>
      <c r="W25" s="149">
        <f t="shared" si="5"/>
        <v>0</v>
      </c>
      <c r="X25" s="149"/>
    </row>
  </sheetData>
  <sheetProtection formatCells="0"/>
  <protectedRanges>
    <protectedRange sqref="N31:Q32" name="Bereich1"/>
    <protectedRange sqref="N19:Q19 N21:Q21 N23:Q23" name="Bereich1_1"/>
  </protectedRanges>
  <mergeCells count="56">
    <mergeCell ref="J21:M22"/>
    <mergeCell ref="C17:E17"/>
    <mergeCell ref="J23:M25"/>
    <mergeCell ref="B23:B25"/>
    <mergeCell ref="C23:E23"/>
    <mergeCell ref="F23:G25"/>
    <mergeCell ref="H23:I23"/>
    <mergeCell ref="C25:E25"/>
    <mergeCell ref="H25:I25"/>
    <mergeCell ref="C24:E24"/>
    <mergeCell ref="H24:I24"/>
    <mergeCell ref="B17:B18"/>
    <mergeCell ref="C20:E20"/>
    <mergeCell ref="H20:I20"/>
    <mergeCell ref="B21:B22"/>
    <mergeCell ref="C21:E21"/>
    <mergeCell ref="F21:G22"/>
    <mergeCell ref="H21:I21"/>
    <mergeCell ref="C22:E22"/>
    <mergeCell ref="H22:I22"/>
    <mergeCell ref="B19:B20"/>
    <mergeCell ref="C19:E19"/>
    <mergeCell ref="F19:G20"/>
    <mergeCell ref="H19:I19"/>
    <mergeCell ref="F17:G18"/>
    <mergeCell ref="H17:I17"/>
    <mergeCell ref="C18:E18"/>
    <mergeCell ref="H18:I18"/>
    <mergeCell ref="J19:M20"/>
    <mergeCell ref="J17:M18"/>
    <mergeCell ref="C10:M10"/>
    <mergeCell ref="C14:E14"/>
    <mergeCell ref="F14:G14"/>
    <mergeCell ref="H14:I14"/>
    <mergeCell ref="J14:M14"/>
    <mergeCell ref="B4:M4"/>
    <mergeCell ref="C6:G6"/>
    <mergeCell ref="C7:M7"/>
    <mergeCell ref="C8:M8"/>
    <mergeCell ref="C9:M9"/>
    <mergeCell ref="C16:E16"/>
    <mergeCell ref="F16:G16"/>
    <mergeCell ref="H16:I16"/>
    <mergeCell ref="J16:M16"/>
    <mergeCell ref="B15:M15"/>
    <mergeCell ref="N14:Q14"/>
    <mergeCell ref="N16:Q16"/>
    <mergeCell ref="N17:Q17"/>
    <mergeCell ref="N18:Q18"/>
    <mergeCell ref="N19:Q19"/>
    <mergeCell ref="N25:Q25"/>
    <mergeCell ref="N20:Q20"/>
    <mergeCell ref="N21:Q21"/>
    <mergeCell ref="N22:Q22"/>
    <mergeCell ref="N23:Q23"/>
    <mergeCell ref="N24:Q24"/>
  </mergeCells>
  <conditionalFormatting sqref="H25:I25 H16:I23">
    <cfRule type="containsText" dxfId="35" priority="2" operator="containsText" text="Bitte auswählen">
      <formula>NOT(ISERROR(SEARCH("Bitte auswählen",H16)))</formula>
    </cfRule>
  </conditionalFormatting>
  <conditionalFormatting sqref="H24:I24">
    <cfRule type="containsText" dxfId="34" priority="1" operator="containsText" text="Bitte auswählen">
      <formula>NOT(ISERROR(SEARCH("Bitte auswählen",H24)))</formula>
    </cfRule>
  </conditionalFormatting>
  <dataValidations xWindow="776" yWindow="397" count="2">
    <dataValidation allowBlank="1" showInputMessage="1" showErrorMessage="1" promptTitle="[+] Klicken" prompt="Hier können Sie sich erweiterte Informationen zu dem Prozess anzeigen lassen." sqref="A11" xr:uid="{1E7E5F5C-1741-47F2-A5EB-EB500517FF52}"/>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5E7CB8ED-23EC-45C9-AD9F-EDB65E328990}"/>
  </dataValidations>
  <hyperlinks>
    <hyperlink ref="C25:E25" location="Glossar!A1" display="Werden Inhalte über APIs oder Schnittstellen in externe Systeme integriert und flexibel auf neuen Plattformen nutzbar gemacht?" xr:uid="{863D38CB-51D6-4196-808C-EA32644D8C1E}"/>
  </hyperlinks>
  <pageMargins left="0.23622047244094491" right="0.23622047244094491" top="0.74803149606299213" bottom="0.74803149606299213" header="0.31496062992125984" footer="0.31496062992125984"/>
  <pageSetup paperSize="9" scale="46" orientation="landscape" horizontalDpi="4294967293"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776" yWindow="397" count="1">
        <x14:dataValidation type="list" allowBlank="1" showInputMessage="1" showErrorMessage="1" xr:uid="{2392CA65-425B-4929-AEA9-23C893FBDA9E}">
          <x14:formula1>
            <xm:f>Data!$I$3:$I$8</xm:f>
          </x14:formula1>
          <xm:sqref>H16:I25</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53168-A294-4D9C-BA83-B4204083B65A}">
  <sheetPr>
    <tabColor rgb="FF333399"/>
    <pageSetUpPr fitToPage="1"/>
  </sheetPr>
  <dimension ref="B4:AG28"/>
  <sheetViews>
    <sheetView showGridLines="0" zoomScale="90" zoomScaleNormal="90" zoomScalePageLayoutView="85" workbookViewId="0"/>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68.54296875" style="48" hidden="1" customWidth="1" outlineLevel="1"/>
    <col min="7" max="7" width="26.453125" style="48" hidden="1" customWidth="1" outlineLevel="1"/>
    <col min="8" max="8" width="11.453125" style="48" collapsed="1"/>
    <col min="9" max="10" width="11.453125" style="48"/>
    <col min="11" max="11" width="13.26953125" style="48" customWidth="1"/>
    <col min="12" max="12" width="11.453125" style="48"/>
    <col min="13" max="13" width="34.1796875" style="48" customWidth="1"/>
    <col min="14" max="14" width="11.453125" style="48"/>
    <col min="15" max="15" width="13.26953125" style="48" customWidth="1"/>
    <col min="16" max="16" width="11.453125" style="48"/>
    <col min="17" max="17" width="24.81640625" style="48" customWidth="1"/>
    <col min="18" max="18" width="11.453125" style="49"/>
    <col min="19" max="24" width="11.453125" style="48" customWidth="1"/>
    <col min="25" max="25" width="14" style="48" customWidth="1"/>
    <col min="26" max="32" width="11.453125" style="48" customWidth="1"/>
    <col min="33" max="33" width="11.453125" style="48" hidden="1" customWidth="1"/>
    <col min="34" max="16384" width="11.453125" style="48"/>
  </cols>
  <sheetData>
    <row r="4" spans="2:33" ht="14" x14ac:dyDescent="0.3">
      <c r="B4" s="290" t="s">
        <v>39</v>
      </c>
      <c r="C4" s="290"/>
      <c r="D4" s="290"/>
      <c r="E4" s="290"/>
      <c r="F4" s="290"/>
      <c r="G4" s="290"/>
      <c r="H4" s="290"/>
      <c r="I4" s="290"/>
      <c r="J4" s="290"/>
      <c r="K4" s="290"/>
      <c r="L4" s="290"/>
      <c r="M4" s="290"/>
      <c r="N4" s="216"/>
      <c r="O4" s="216"/>
      <c r="P4" s="216"/>
      <c r="Q4" s="216"/>
    </row>
    <row r="5" spans="2:33" ht="9" customHeight="1" x14ac:dyDescent="0.25"/>
    <row r="6" spans="2:33" ht="32.25" customHeight="1" thickBot="1" x14ac:dyDescent="0.3">
      <c r="B6" s="162" t="s">
        <v>117</v>
      </c>
      <c r="C6" s="293" t="s">
        <v>170</v>
      </c>
      <c r="D6" s="293"/>
      <c r="E6" s="293"/>
      <c r="F6" s="293"/>
      <c r="G6" s="293"/>
      <c r="H6" s="53"/>
      <c r="I6" s="53"/>
      <c r="J6" s="53"/>
      <c r="K6" s="53" t="s">
        <v>36</v>
      </c>
      <c r="L6" s="55">
        <f>ROUNDDOWN(Z16/0.25,0)*0.25</f>
        <v>0</v>
      </c>
      <c r="M6" s="54" t="str">
        <f>IF(L6&lt;1,"Unvollständig",IF(L6&lt;2,"Initial",IF(L6&lt;3,"Gemanagt",IF(L6&lt;4,"Definiert",IF(L6&lt;5,"Quantitativ gemanagt",IF(L6&lt;6,"Optimiert","Ausstehend"))))))</f>
        <v>Unvollständig</v>
      </c>
      <c r="N6" s="53"/>
      <c r="O6" s="53"/>
      <c r="P6" s="55"/>
      <c r="Q6" s="54"/>
    </row>
    <row r="7" spans="2:33" ht="35.25" hidden="1" customHeight="1" outlineLevel="1" x14ac:dyDescent="0.25">
      <c r="B7" s="76" t="s">
        <v>211</v>
      </c>
      <c r="C7" s="294" t="s">
        <v>804</v>
      </c>
      <c r="D7" s="295"/>
      <c r="E7" s="295"/>
      <c r="F7" s="295"/>
      <c r="G7" s="295"/>
      <c r="H7" s="295"/>
      <c r="I7" s="295"/>
      <c r="J7" s="295"/>
      <c r="K7" s="295"/>
      <c r="L7" s="295"/>
      <c r="M7" s="296"/>
      <c r="N7" s="218"/>
      <c r="O7" s="218"/>
      <c r="P7" s="218"/>
      <c r="Q7" s="218"/>
    </row>
    <row r="8" spans="2:33" ht="70.5" hidden="1" customHeight="1" outlineLevel="1" x14ac:dyDescent="0.25">
      <c r="B8" s="51" t="s">
        <v>212</v>
      </c>
      <c r="C8" s="297" t="s">
        <v>534</v>
      </c>
      <c r="D8" s="298"/>
      <c r="E8" s="298"/>
      <c r="F8" s="298"/>
      <c r="G8" s="298"/>
      <c r="H8" s="298"/>
      <c r="I8" s="298"/>
      <c r="J8" s="298"/>
      <c r="K8" s="298"/>
      <c r="L8" s="298"/>
      <c r="M8" s="299"/>
      <c r="N8" s="217"/>
      <c r="O8" s="217"/>
      <c r="P8" s="217"/>
      <c r="Q8" s="217"/>
    </row>
    <row r="9" spans="2:33" ht="75" hidden="1" customHeight="1" outlineLevel="1" x14ac:dyDescent="0.25">
      <c r="B9" s="51" t="s">
        <v>30</v>
      </c>
      <c r="C9" s="300" t="s">
        <v>535</v>
      </c>
      <c r="D9" s="301"/>
      <c r="E9" s="301"/>
      <c r="F9" s="301"/>
      <c r="G9" s="301"/>
      <c r="H9" s="301"/>
      <c r="I9" s="301"/>
      <c r="J9" s="301"/>
      <c r="K9" s="301"/>
      <c r="L9" s="301"/>
      <c r="M9" s="302"/>
      <c r="N9" s="218"/>
      <c r="O9" s="218"/>
      <c r="P9" s="218"/>
      <c r="Q9" s="218"/>
    </row>
    <row r="10" spans="2:33" ht="65.25" hidden="1" customHeight="1" outlineLevel="1" x14ac:dyDescent="0.25">
      <c r="B10" s="51" t="s">
        <v>31</v>
      </c>
      <c r="C10" s="300" t="s">
        <v>536</v>
      </c>
      <c r="D10" s="301"/>
      <c r="E10" s="301"/>
      <c r="F10" s="301"/>
      <c r="G10" s="301"/>
      <c r="H10" s="301"/>
      <c r="I10" s="301"/>
      <c r="J10" s="301"/>
      <c r="K10" s="301"/>
      <c r="L10" s="301"/>
      <c r="M10" s="302"/>
      <c r="N10" s="218"/>
      <c r="O10" s="218"/>
      <c r="P10" s="218"/>
      <c r="Q10" s="218"/>
    </row>
    <row r="11" spans="2:33" collapsed="1" x14ac:dyDescent="0.25"/>
    <row r="12" spans="2:33" ht="13" x14ac:dyDescent="0.3">
      <c r="B12" s="50" t="s">
        <v>33</v>
      </c>
      <c r="C12" s="49"/>
    </row>
    <row r="13" spans="2:33" ht="6.75" customHeight="1" x14ac:dyDescent="0.25"/>
    <row r="14" spans="2:33" ht="21.75" customHeight="1" x14ac:dyDescent="0.25">
      <c r="B14" s="52" t="s">
        <v>34</v>
      </c>
      <c r="C14" s="353" t="s">
        <v>37</v>
      </c>
      <c r="D14" s="354"/>
      <c r="E14" s="355"/>
      <c r="F14" s="341" t="s">
        <v>67</v>
      </c>
      <c r="G14" s="356"/>
      <c r="H14" s="341" t="s">
        <v>3</v>
      </c>
      <c r="I14" s="356"/>
      <c r="J14" s="341" t="s">
        <v>886</v>
      </c>
      <c r="K14" s="342"/>
      <c r="L14" s="342"/>
      <c r="M14" s="342"/>
      <c r="N14" s="341" t="s">
        <v>38</v>
      </c>
      <c r="O14" s="342"/>
      <c r="P14" s="342"/>
      <c r="Q14" s="342"/>
      <c r="S14" s="149"/>
      <c r="T14" s="149" t="s">
        <v>35</v>
      </c>
      <c r="U14" s="149"/>
      <c r="V14" s="149"/>
      <c r="W14" s="149"/>
      <c r="X14" s="149"/>
      <c r="Y14" s="149" t="s">
        <v>45</v>
      </c>
      <c r="Z14" s="149" t="s">
        <v>44</v>
      </c>
    </row>
    <row r="15" spans="2:33" ht="1.5" customHeight="1" x14ac:dyDescent="0.3">
      <c r="B15" s="314"/>
      <c r="C15" s="314"/>
      <c r="D15" s="314"/>
      <c r="E15" s="314"/>
      <c r="F15" s="314"/>
      <c r="G15" s="314"/>
      <c r="H15" s="314"/>
      <c r="I15" s="314"/>
      <c r="J15" s="314"/>
      <c r="K15" s="314"/>
      <c r="L15" s="314"/>
      <c r="M15" s="314"/>
      <c r="N15" s="219"/>
      <c r="O15" s="219"/>
      <c r="P15" s="219"/>
      <c r="Q15" s="219"/>
    </row>
    <row r="16" spans="2:33" ht="40" customHeight="1" thickBot="1" x14ac:dyDescent="0.35">
      <c r="B16" s="182">
        <v>1</v>
      </c>
      <c r="C16" s="310" t="s">
        <v>1147</v>
      </c>
      <c r="D16" s="310"/>
      <c r="E16" s="310"/>
      <c r="F16" s="310" t="s">
        <v>548</v>
      </c>
      <c r="G16" s="310"/>
      <c r="H16" s="340" t="s">
        <v>42</v>
      </c>
      <c r="I16" s="340"/>
      <c r="J16" s="340" t="s">
        <v>29</v>
      </c>
      <c r="K16" s="340"/>
      <c r="L16" s="340"/>
      <c r="M16" s="340"/>
      <c r="N16" s="415"/>
      <c r="O16" s="415"/>
      <c r="P16" s="415"/>
      <c r="Q16" s="415"/>
      <c r="S16" s="74">
        <f>IF(H16="Nicht anwendbar","n.a.",0)</f>
        <v>0</v>
      </c>
      <c r="T16" s="75">
        <f>IF(H16="Vollständig",1,0)</f>
        <v>0</v>
      </c>
      <c r="U16" s="75">
        <f>IF(H16="In den meisten Fällen",0.75,0)</f>
        <v>0</v>
      </c>
      <c r="V16" s="75">
        <f>IF(H16="In ein Paar Fällen",0.5,0)</f>
        <v>0</v>
      </c>
      <c r="W16" s="75">
        <f>IF(H16="Gar nicht",0,0)</f>
        <v>0</v>
      </c>
      <c r="X16" s="75">
        <f>IF(S16&gt;0,"n.a.",SUM(S16:W16))</f>
        <v>0</v>
      </c>
      <c r="Y16" s="48">
        <f>X16</f>
        <v>0</v>
      </c>
      <c r="Z16" s="48">
        <f>IF(Y16&lt;&gt;"n.a.",SUM(Y16,Y17,Y19,Y22,Y26),NA())</f>
        <v>0</v>
      </c>
      <c r="AG16" s="49" t="str">
        <f t="shared" ref="AG16:AG18" si="0">IF(X16&gt;0.5,"Umgesetzt","Nicht umgesetzt")</f>
        <v>Nicht umgesetzt</v>
      </c>
    </row>
    <row r="17" spans="2:33" ht="40" customHeight="1" thickBot="1" x14ac:dyDescent="0.3">
      <c r="B17" s="325">
        <v>2</v>
      </c>
      <c r="C17" s="343" t="s">
        <v>537</v>
      </c>
      <c r="D17" s="343"/>
      <c r="E17" s="343"/>
      <c r="F17" s="361" t="s">
        <v>549</v>
      </c>
      <c r="G17" s="362"/>
      <c r="H17" s="365" t="s">
        <v>42</v>
      </c>
      <c r="I17" s="365"/>
      <c r="J17" s="351" t="s">
        <v>966</v>
      </c>
      <c r="K17" s="352"/>
      <c r="L17" s="352"/>
      <c r="M17" s="352"/>
      <c r="N17" s="339"/>
      <c r="O17" s="339"/>
      <c r="P17" s="339"/>
      <c r="Q17" s="339"/>
      <c r="S17" s="49">
        <f t="shared" ref="S17:S28" si="1">IF(H17="Nicht anwendbar","n.a.",0)</f>
        <v>0</v>
      </c>
      <c r="T17" s="49">
        <f t="shared" ref="T17:T28" si="2">IF(H17="Vollständig",1,0)</f>
        <v>0</v>
      </c>
      <c r="U17" s="49">
        <f>IF(H17="In den meisten Fällen",0.75,0)</f>
        <v>0</v>
      </c>
      <c r="V17" s="49">
        <f>IF(H17="In ein Paar Fällen",0.5,0)</f>
        <v>0</v>
      </c>
      <c r="W17" s="49">
        <f>IF(H17="Gar nicht",0,0)</f>
        <v>0</v>
      </c>
      <c r="X17" s="143">
        <f>IFERROR(SUM(T17:W18)/COUNTIF(H17:H18,"&lt;&gt;Nicht anwendbar"),"n.a.")</f>
        <v>0</v>
      </c>
      <c r="Y17" s="48">
        <f>IF(X16=1,X17,0)</f>
        <v>0</v>
      </c>
      <c r="AG17" s="49" t="str">
        <f t="shared" si="0"/>
        <v>Nicht umgesetzt</v>
      </c>
    </row>
    <row r="18" spans="2:33" ht="40" customHeight="1" thickBot="1" x14ac:dyDescent="0.3">
      <c r="B18" s="326"/>
      <c r="C18" s="310" t="s">
        <v>538</v>
      </c>
      <c r="D18" s="310"/>
      <c r="E18" s="310"/>
      <c r="F18" s="308"/>
      <c r="G18" s="308"/>
      <c r="H18" s="340" t="s">
        <v>42</v>
      </c>
      <c r="I18" s="340"/>
      <c r="J18" s="275"/>
      <c r="K18" s="275"/>
      <c r="L18" s="275"/>
      <c r="M18" s="275"/>
      <c r="N18" s="339"/>
      <c r="O18" s="339"/>
      <c r="P18" s="339"/>
      <c r="Q18" s="339"/>
      <c r="S18" s="75">
        <f t="shared" si="1"/>
        <v>0</v>
      </c>
      <c r="T18" s="75">
        <f t="shared" si="2"/>
        <v>0</v>
      </c>
      <c r="U18" s="75">
        <f t="shared" ref="U18:U28" si="3">IF(H18="In den meisten Fällen",0.75,0)</f>
        <v>0</v>
      </c>
      <c r="V18" s="75">
        <f t="shared" ref="V18:V28" si="4">IF(H18="In ein Paar Fällen",0.5,0)</f>
        <v>0</v>
      </c>
      <c r="W18" s="75">
        <f t="shared" ref="W18:W28" si="5">IF(H18="Gar nicht",0,0)</f>
        <v>0</v>
      </c>
      <c r="X18" s="75"/>
      <c r="AG18" s="49" t="str">
        <f t="shared" si="0"/>
        <v>Nicht umgesetzt</v>
      </c>
    </row>
    <row r="19" spans="2:33" ht="40" customHeight="1" thickBot="1" x14ac:dyDescent="0.3">
      <c r="B19" s="325">
        <v>3</v>
      </c>
      <c r="C19" s="344" t="s">
        <v>539</v>
      </c>
      <c r="D19" s="345"/>
      <c r="E19" s="345"/>
      <c r="F19" s="370" t="s">
        <v>550</v>
      </c>
      <c r="G19" s="371"/>
      <c r="H19" s="365" t="s">
        <v>42</v>
      </c>
      <c r="I19" s="365"/>
      <c r="J19" s="357" t="s">
        <v>967</v>
      </c>
      <c r="K19" s="358"/>
      <c r="L19" s="358"/>
      <c r="M19" s="358"/>
      <c r="N19" s="401"/>
      <c r="O19" s="401"/>
      <c r="P19" s="401"/>
      <c r="Q19" s="401"/>
      <c r="S19" s="48">
        <f t="shared" si="1"/>
        <v>0</v>
      </c>
      <c r="T19" s="49">
        <f t="shared" si="2"/>
        <v>0</v>
      </c>
      <c r="U19" s="49">
        <f t="shared" si="3"/>
        <v>0</v>
      </c>
      <c r="V19" s="49">
        <f t="shared" si="4"/>
        <v>0</v>
      </c>
      <c r="W19" s="49">
        <f t="shared" si="5"/>
        <v>0</v>
      </c>
      <c r="X19" s="143">
        <f>IFERROR(SUM(T19:W21)/COUNTIF(H19:H21,"&lt;&gt;Nicht anwendbar"),"n.a.")</f>
        <v>0</v>
      </c>
      <c r="Y19" s="48">
        <f>IF(Y17=1,X19,0)</f>
        <v>0</v>
      </c>
    </row>
    <row r="20" spans="2:33" ht="40" customHeight="1" thickBot="1" x14ac:dyDescent="0.3">
      <c r="B20" s="323"/>
      <c r="C20" s="347" t="s">
        <v>540</v>
      </c>
      <c r="D20" s="348"/>
      <c r="E20" s="348"/>
      <c r="F20" s="337"/>
      <c r="G20" s="337"/>
      <c r="H20" s="366" t="s">
        <v>42</v>
      </c>
      <c r="I20" s="366"/>
      <c r="J20" s="282"/>
      <c r="K20" s="282"/>
      <c r="L20" s="282"/>
      <c r="M20" s="282"/>
      <c r="N20" s="339"/>
      <c r="O20" s="339"/>
      <c r="P20" s="339"/>
      <c r="Q20" s="339"/>
      <c r="S20" s="48">
        <f t="shared" si="1"/>
        <v>0</v>
      </c>
      <c r="T20" s="49">
        <f t="shared" si="2"/>
        <v>0</v>
      </c>
      <c r="U20" s="49">
        <f t="shared" si="3"/>
        <v>0</v>
      </c>
      <c r="V20" s="49">
        <f t="shared" si="4"/>
        <v>0</v>
      </c>
      <c r="W20" s="49">
        <f t="shared" si="5"/>
        <v>0</v>
      </c>
    </row>
    <row r="21" spans="2:33" ht="40" customHeight="1" thickBot="1" x14ac:dyDescent="0.3">
      <c r="B21" s="326"/>
      <c r="C21" s="368" t="s">
        <v>541</v>
      </c>
      <c r="D21" s="368"/>
      <c r="E21" s="368"/>
      <c r="F21" s="386"/>
      <c r="G21" s="386"/>
      <c r="H21" s="340" t="s">
        <v>42</v>
      </c>
      <c r="I21" s="340"/>
      <c r="J21" s="270"/>
      <c r="K21" s="270"/>
      <c r="L21" s="270"/>
      <c r="M21" s="270"/>
      <c r="N21" s="339"/>
      <c r="O21" s="339"/>
      <c r="P21" s="339"/>
      <c r="Q21" s="339"/>
      <c r="S21" s="75">
        <f t="shared" si="1"/>
        <v>0</v>
      </c>
      <c r="T21" s="75">
        <f t="shared" si="2"/>
        <v>0</v>
      </c>
      <c r="U21" s="75">
        <f t="shared" si="3"/>
        <v>0</v>
      </c>
      <c r="V21" s="75">
        <f t="shared" si="4"/>
        <v>0</v>
      </c>
      <c r="W21" s="75">
        <f t="shared" si="5"/>
        <v>0</v>
      </c>
      <c r="X21" s="75"/>
    </row>
    <row r="22" spans="2:33" ht="40" customHeight="1" thickBot="1" x14ac:dyDescent="0.3">
      <c r="B22" s="325">
        <v>4</v>
      </c>
      <c r="C22" s="343" t="s">
        <v>542</v>
      </c>
      <c r="D22" s="343"/>
      <c r="E22" s="343"/>
      <c r="F22" s="361" t="s">
        <v>551</v>
      </c>
      <c r="G22" s="362"/>
      <c r="H22" s="365" t="s">
        <v>42</v>
      </c>
      <c r="I22" s="365"/>
      <c r="J22" s="351" t="s">
        <v>968</v>
      </c>
      <c r="K22" s="352"/>
      <c r="L22" s="352"/>
      <c r="M22" s="352"/>
      <c r="N22" s="401"/>
      <c r="O22" s="401"/>
      <c r="P22" s="401"/>
      <c r="Q22" s="401"/>
      <c r="S22" s="49">
        <f t="shared" si="1"/>
        <v>0</v>
      </c>
      <c r="T22" s="49">
        <f t="shared" si="2"/>
        <v>0</v>
      </c>
      <c r="U22" s="49">
        <f t="shared" si="3"/>
        <v>0</v>
      </c>
      <c r="V22" s="49">
        <f t="shared" si="4"/>
        <v>0</v>
      </c>
      <c r="W22" s="49">
        <f t="shared" si="5"/>
        <v>0</v>
      </c>
      <c r="X22" s="49">
        <f>IFERROR(SUM(T22:W25)/COUNTIF(H22:H25,"&lt;&gt;Nicht anwendbar"),"n.a.")</f>
        <v>0</v>
      </c>
      <c r="Y22" s="48">
        <f>IF(Y19=1,X22,0)</f>
        <v>0</v>
      </c>
    </row>
    <row r="23" spans="2:33" ht="40" customHeight="1" thickBot="1" x14ac:dyDescent="0.3">
      <c r="B23" s="323"/>
      <c r="C23" s="330" t="s">
        <v>543</v>
      </c>
      <c r="D23" s="330"/>
      <c r="E23" s="330"/>
      <c r="F23" s="307"/>
      <c r="G23" s="307"/>
      <c r="H23" s="366" t="s">
        <v>42</v>
      </c>
      <c r="I23" s="366"/>
      <c r="J23" s="286"/>
      <c r="K23" s="286"/>
      <c r="L23" s="286"/>
      <c r="M23" s="286"/>
      <c r="N23" s="339"/>
      <c r="O23" s="339"/>
      <c r="P23" s="339"/>
      <c r="Q23" s="339"/>
      <c r="S23" s="49">
        <f t="shared" si="1"/>
        <v>0</v>
      </c>
      <c r="T23" s="49">
        <f t="shared" si="2"/>
        <v>0</v>
      </c>
      <c r="U23" s="49">
        <f t="shared" si="3"/>
        <v>0</v>
      </c>
      <c r="V23" s="49">
        <f t="shared" si="4"/>
        <v>0</v>
      </c>
      <c r="W23" s="49">
        <f t="shared" si="5"/>
        <v>0</v>
      </c>
      <c r="X23" s="49"/>
    </row>
    <row r="24" spans="2:33" ht="40" customHeight="1" thickBot="1" x14ac:dyDescent="0.3">
      <c r="B24" s="323"/>
      <c r="C24" s="330" t="s">
        <v>546</v>
      </c>
      <c r="D24" s="330"/>
      <c r="E24" s="330"/>
      <c r="F24" s="307"/>
      <c r="G24" s="307"/>
      <c r="H24" s="366" t="s">
        <v>42</v>
      </c>
      <c r="I24" s="366"/>
      <c r="J24" s="286"/>
      <c r="K24" s="286"/>
      <c r="L24" s="286"/>
      <c r="M24" s="286"/>
      <c r="N24" s="339"/>
      <c r="O24" s="339"/>
      <c r="P24" s="339"/>
      <c r="Q24" s="339"/>
      <c r="S24" s="49">
        <f t="shared" si="1"/>
        <v>0</v>
      </c>
      <c r="T24" s="49">
        <f t="shared" si="2"/>
        <v>0</v>
      </c>
      <c r="U24" s="49">
        <f t="shared" si="3"/>
        <v>0</v>
      </c>
      <c r="V24" s="49">
        <f t="shared" si="4"/>
        <v>0</v>
      </c>
      <c r="W24" s="49">
        <f t="shared" si="5"/>
        <v>0</v>
      </c>
      <c r="X24" s="49"/>
    </row>
    <row r="25" spans="2:33" ht="40" customHeight="1" thickBot="1" x14ac:dyDescent="0.3">
      <c r="B25" s="323"/>
      <c r="C25" s="350" t="s">
        <v>545</v>
      </c>
      <c r="D25" s="350"/>
      <c r="E25" s="350"/>
      <c r="F25" s="308"/>
      <c r="G25" s="308"/>
      <c r="H25" s="340" t="s">
        <v>42</v>
      </c>
      <c r="I25" s="340"/>
      <c r="J25" s="275"/>
      <c r="K25" s="275"/>
      <c r="L25" s="275"/>
      <c r="M25" s="275"/>
      <c r="N25" s="414"/>
      <c r="O25" s="414"/>
      <c r="P25" s="414"/>
      <c r="Q25" s="414"/>
      <c r="S25" s="149">
        <f t="shared" si="1"/>
        <v>0</v>
      </c>
      <c r="T25" s="149">
        <f t="shared" si="2"/>
        <v>0</v>
      </c>
      <c r="U25" s="149">
        <f t="shared" si="3"/>
        <v>0</v>
      </c>
      <c r="V25" s="149">
        <f t="shared" si="4"/>
        <v>0</v>
      </c>
      <c r="W25" s="149">
        <f t="shared" si="5"/>
        <v>0</v>
      </c>
      <c r="X25" s="149"/>
    </row>
    <row r="26" spans="2:33" ht="40" customHeight="1" thickBot="1" x14ac:dyDescent="0.3">
      <c r="B26" s="325">
        <v>5</v>
      </c>
      <c r="C26" s="343" t="s">
        <v>547</v>
      </c>
      <c r="D26" s="343"/>
      <c r="E26" s="343"/>
      <c r="F26" s="361" t="s">
        <v>552</v>
      </c>
      <c r="G26" s="362"/>
      <c r="H26" s="365" t="s">
        <v>42</v>
      </c>
      <c r="I26" s="365"/>
      <c r="J26" s="351" t="s">
        <v>969</v>
      </c>
      <c r="K26" s="352"/>
      <c r="L26" s="352"/>
      <c r="M26" s="352"/>
      <c r="N26" s="401"/>
      <c r="O26" s="401"/>
      <c r="P26" s="401"/>
      <c r="Q26" s="401"/>
      <c r="S26" s="157">
        <f t="shared" si="1"/>
        <v>0</v>
      </c>
      <c r="T26" s="157">
        <f t="shared" si="2"/>
        <v>0</v>
      </c>
      <c r="U26" s="157">
        <f t="shared" si="3"/>
        <v>0</v>
      </c>
      <c r="V26" s="157">
        <f t="shared" si="4"/>
        <v>0</v>
      </c>
      <c r="W26" s="157">
        <f t="shared" si="5"/>
        <v>0</v>
      </c>
      <c r="X26" s="143">
        <f>IFERROR(SUM(T26:W28)/COUNTIF(H26:H28,"&lt;&gt;Nicht anwendbar"),"n.a.")</f>
        <v>0</v>
      </c>
      <c r="Y26" s="48">
        <f>IF(Y22=1,X26,0)</f>
        <v>0</v>
      </c>
    </row>
    <row r="27" spans="2:33" ht="40" customHeight="1" thickBot="1" x14ac:dyDescent="0.3">
      <c r="B27" s="323"/>
      <c r="C27" s="330" t="s">
        <v>1099</v>
      </c>
      <c r="D27" s="330"/>
      <c r="E27" s="330"/>
      <c r="F27" s="350"/>
      <c r="G27" s="307"/>
      <c r="H27" s="366" t="s">
        <v>42</v>
      </c>
      <c r="I27" s="366"/>
      <c r="J27" s="286"/>
      <c r="K27" s="286"/>
      <c r="L27" s="286"/>
      <c r="M27" s="286"/>
      <c r="N27" s="339"/>
      <c r="O27" s="339"/>
      <c r="P27" s="339"/>
      <c r="Q27" s="339"/>
      <c r="S27" s="49">
        <f t="shared" si="1"/>
        <v>0</v>
      </c>
      <c r="T27" s="49">
        <f t="shared" si="2"/>
        <v>0</v>
      </c>
      <c r="U27" s="49">
        <f t="shared" ref="U27" si="6">IF(H27="In den meisten Fällen",0.75,0)</f>
        <v>0</v>
      </c>
      <c r="V27" s="49">
        <f t="shared" ref="V27" si="7">IF(H27="In ein Paar Fällen",0.5,0)</f>
        <v>0</v>
      </c>
      <c r="W27" s="49">
        <f t="shared" ref="W27" si="8">IF(H27="Gar nicht",0,0)</f>
        <v>0</v>
      </c>
      <c r="X27" s="49"/>
    </row>
    <row r="28" spans="2:33" ht="40" customHeight="1" thickBot="1" x14ac:dyDescent="0.3">
      <c r="B28" s="326"/>
      <c r="C28" s="310" t="s">
        <v>544</v>
      </c>
      <c r="D28" s="310"/>
      <c r="E28" s="310"/>
      <c r="F28" s="308"/>
      <c r="G28" s="308"/>
      <c r="H28" s="340" t="s">
        <v>42</v>
      </c>
      <c r="I28" s="340"/>
      <c r="J28" s="275"/>
      <c r="K28" s="275"/>
      <c r="L28" s="275"/>
      <c r="M28" s="275"/>
      <c r="N28" s="414"/>
      <c r="O28" s="414"/>
      <c r="P28" s="414"/>
      <c r="Q28" s="414"/>
      <c r="S28" s="149">
        <f t="shared" si="1"/>
        <v>0</v>
      </c>
      <c r="T28" s="149">
        <f t="shared" si="2"/>
        <v>0</v>
      </c>
      <c r="U28" s="149">
        <f t="shared" si="3"/>
        <v>0</v>
      </c>
      <c r="V28" s="149">
        <f t="shared" si="4"/>
        <v>0</v>
      </c>
      <c r="W28" s="149">
        <f t="shared" si="5"/>
        <v>0</v>
      </c>
      <c r="X28" s="149"/>
    </row>
  </sheetData>
  <sheetProtection formatCells="0"/>
  <protectedRanges>
    <protectedRange sqref="N31:Q32" name="Bereich1"/>
    <protectedRange sqref="N19:Q19 N22:Q22 N26:Q26" name="Bereich1_1"/>
  </protectedRanges>
  <mergeCells count="65">
    <mergeCell ref="J26:M28"/>
    <mergeCell ref="J22:M25"/>
    <mergeCell ref="B26:B28"/>
    <mergeCell ref="C26:E26"/>
    <mergeCell ref="F26:G28"/>
    <mergeCell ref="H26:I26"/>
    <mergeCell ref="B22:B25"/>
    <mergeCell ref="C22:E22"/>
    <mergeCell ref="F22:G25"/>
    <mergeCell ref="H22:I22"/>
    <mergeCell ref="C23:E23"/>
    <mergeCell ref="H23:I23"/>
    <mergeCell ref="C24:E24"/>
    <mergeCell ref="H24:I24"/>
    <mergeCell ref="C25:E25"/>
    <mergeCell ref="H25:I25"/>
    <mergeCell ref="C28:E28"/>
    <mergeCell ref="H28:I28"/>
    <mergeCell ref="B17:B18"/>
    <mergeCell ref="C21:E21"/>
    <mergeCell ref="H21:I21"/>
    <mergeCell ref="B19:B21"/>
    <mergeCell ref="C19:E19"/>
    <mergeCell ref="F19:G21"/>
    <mergeCell ref="H19:I19"/>
    <mergeCell ref="C20:E20"/>
    <mergeCell ref="H20:I20"/>
    <mergeCell ref="C27:E27"/>
    <mergeCell ref="H27:I27"/>
    <mergeCell ref="J17:M18"/>
    <mergeCell ref="J19:M21"/>
    <mergeCell ref="C16:E16"/>
    <mergeCell ref="F16:G16"/>
    <mergeCell ref="H16:I16"/>
    <mergeCell ref="J16:M16"/>
    <mergeCell ref="C17:E17"/>
    <mergeCell ref="F17:G18"/>
    <mergeCell ref="H17:I17"/>
    <mergeCell ref="C18:E18"/>
    <mergeCell ref="H18:I18"/>
    <mergeCell ref="B15:M15"/>
    <mergeCell ref="B4:M4"/>
    <mergeCell ref="C6:G6"/>
    <mergeCell ref="C7:M7"/>
    <mergeCell ref="C8:M8"/>
    <mergeCell ref="C9:M9"/>
    <mergeCell ref="C10:M10"/>
    <mergeCell ref="C14:E14"/>
    <mergeCell ref="F14:G14"/>
    <mergeCell ref="H14:I14"/>
    <mergeCell ref="J14:M14"/>
    <mergeCell ref="N14:Q14"/>
    <mergeCell ref="N16:Q16"/>
    <mergeCell ref="N17:Q17"/>
    <mergeCell ref="N18:Q18"/>
    <mergeCell ref="N19:Q19"/>
    <mergeCell ref="N25:Q25"/>
    <mergeCell ref="N28:Q28"/>
    <mergeCell ref="N27:Q27"/>
    <mergeCell ref="N26:Q26"/>
    <mergeCell ref="N20:Q20"/>
    <mergeCell ref="N21:Q21"/>
    <mergeCell ref="N22:Q22"/>
    <mergeCell ref="N23:Q23"/>
    <mergeCell ref="N24:Q24"/>
  </mergeCells>
  <conditionalFormatting sqref="H28:I28 H16:I26">
    <cfRule type="containsText" dxfId="33" priority="2" operator="containsText" text="Bitte auswählen">
      <formula>NOT(ISERROR(SEARCH("Bitte auswählen",H16)))</formula>
    </cfRule>
  </conditionalFormatting>
  <conditionalFormatting sqref="H27:I27">
    <cfRule type="containsText" dxfId="32" priority="1" operator="containsText" text="Bitte auswählen">
      <formula>NOT(ISERROR(SEARCH("Bitte auswählen",H27)))</formula>
    </cfRule>
  </conditionalFormatting>
  <dataValidations xWindow="753" yWindow="386" count="2">
    <dataValidation allowBlank="1" showInputMessage="1" showErrorMessage="1" promptTitle="[+] Klicken" prompt="Hier können Sie sich erweiterte Informationen zu dem Prozess anzeigen lassen." sqref="A11" xr:uid="{972E4CA9-7E65-4567-B787-6280DBEF3CE5}"/>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F7FFF876-852A-48F9-9DB1-E6CC170FCA53}"/>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753" yWindow="386" count="1">
        <x14:dataValidation type="list" allowBlank="1" showInputMessage="1" showErrorMessage="1" xr:uid="{442E8564-375E-4199-A2EC-9C08B3ACFD7A}">
          <x14:formula1>
            <xm:f>Data!$I$3:$I$8</xm:f>
          </x14:formula1>
          <xm:sqref>H16:I28</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08B38-A747-45BA-B577-76D267799662}">
  <sheetPr>
    <tabColor rgb="FF333399"/>
    <pageSetUpPr fitToPage="1"/>
  </sheetPr>
  <dimension ref="B4:AG25"/>
  <sheetViews>
    <sheetView showGridLines="0" zoomScale="90" zoomScaleNormal="90" zoomScalePageLayoutView="85" workbookViewId="0"/>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68.54296875" style="48" hidden="1" customWidth="1" outlineLevel="1"/>
    <col min="7" max="7" width="26.453125" style="48" hidden="1" customWidth="1" outlineLevel="1"/>
    <col min="8" max="8" width="11.453125" style="48" collapsed="1"/>
    <col min="9" max="10" width="11.453125" style="48"/>
    <col min="11" max="11" width="13.26953125" style="48" customWidth="1"/>
    <col min="12" max="12" width="11.453125" style="48"/>
    <col min="13" max="13" width="27.54296875" style="48" customWidth="1"/>
    <col min="14" max="14" width="11.453125" style="48"/>
    <col min="15" max="15" width="13.26953125" style="48" customWidth="1"/>
    <col min="16" max="16" width="11.453125" style="48"/>
    <col min="17" max="17" width="24.81640625" style="48" customWidth="1"/>
    <col min="18" max="18" width="10.81640625" style="49" customWidth="1"/>
    <col min="19" max="28" width="10.81640625" style="48" customWidth="1"/>
    <col min="29" max="32" width="11.453125" style="48" customWidth="1"/>
    <col min="33" max="33" width="11.453125" style="48" hidden="1" customWidth="1"/>
    <col min="34" max="16384" width="11.453125" style="48"/>
  </cols>
  <sheetData>
    <row r="4" spans="2:33" ht="14" x14ac:dyDescent="0.3">
      <c r="B4" s="290" t="s">
        <v>39</v>
      </c>
      <c r="C4" s="290"/>
      <c r="D4" s="290"/>
      <c r="E4" s="290"/>
      <c r="F4" s="290"/>
      <c r="G4" s="290"/>
      <c r="H4" s="290"/>
      <c r="I4" s="290"/>
      <c r="J4" s="290"/>
      <c r="K4" s="290"/>
      <c r="L4" s="290"/>
      <c r="M4" s="290"/>
      <c r="N4" s="216"/>
      <c r="O4" s="216"/>
      <c r="P4" s="216"/>
      <c r="Q4" s="216"/>
    </row>
    <row r="5" spans="2:33" ht="9" customHeight="1" x14ac:dyDescent="0.25"/>
    <row r="6" spans="2:33" ht="32.25" customHeight="1" thickBot="1" x14ac:dyDescent="0.3">
      <c r="B6" s="162" t="s">
        <v>119</v>
      </c>
      <c r="C6" s="293" t="s">
        <v>171</v>
      </c>
      <c r="D6" s="293"/>
      <c r="E6" s="293"/>
      <c r="F6" s="293"/>
      <c r="G6" s="293"/>
      <c r="H6" s="53"/>
      <c r="I6" s="53"/>
      <c r="J6" s="53"/>
      <c r="K6" s="53" t="s">
        <v>36</v>
      </c>
      <c r="L6" s="55">
        <f>ROUNDDOWN(Z16/0.25,0)*0.25</f>
        <v>0</v>
      </c>
      <c r="M6" s="54" t="str">
        <f>IF(L6&lt;1,"Unvollständig",IF(L6&lt;2,"Initial",IF(L6&lt;3,"Gemanagt",IF(L6&lt;4,"Definiert",IF(L6&lt;5,"Quantitativ gemanagt",IF(L6&lt;6,"Optimiert","Ausstehend"))))))</f>
        <v>Unvollständig</v>
      </c>
      <c r="N6" s="53"/>
      <c r="O6" s="53"/>
      <c r="P6" s="55"/>
      <c r="Q6" s="54"/>
    </row>
    <row r="7" spans="2:33" ht="35.25" hidden="1" customHeight="1" outlineLevel="1" x14ac:dyDescent="0.25">
      <c r="B7" s="76" t="s">
        <v>211</v>
      </c>
      <c r="C7" s="294" t="s">
        <v>554</v>
      </c>
      <c r="D7" s="295"/>
      <c r="E7" s="295"/>
      <c r="F7" s="295"/>
      <c r="G7" s="295"/>
      <c r="H7" s="295"/>
      <c r="I7" s="295"/>
      <c r="J7" s="295"/>
      <c r="K7" s="295"/>
      <c r="L7" s="295"/>
      <c r="M7" s="296"/>
      <c r="N7" s="218"/>
      <c r="O7" s="218"/>
      <c r="P7" s="218"/>
      <c r="Q7" s="218"/>
    </row>
    <row r="8" spans="2:33" ht="70.5" hidden="1" customHeight="1" outlineLevel="1" x14ac:dyDescent="0.25">
      <c r="B8" s="51" t="s">
        <v>212</v>
      </c>
      <c r="C8" s="297" t="s">
        <v>555</v>
      </c>
      <c r="D8" s="298"/>
      <c r="E8" s="298"/>
      <c r="F8" s="298"/>
      <c r="G8" s="298"/>
      <c r="H8" s="298"/>
      <c r="I8" s="298"/>
      <c r="J8" s="298"/>
      <c r="K8" s="298"/>
      <c r="L8" s="298"/>
      <c r="M8" s="299"/>
      <c r="N8" s="217"/>
      <c r="O8" s="217"/>
      <c r="P8" s="217"/>
      <c r="Q8" s="217"/>
    </row>
    <row r="9" spans="2:33" ht="75" hidden="1" customHeight="1" outlineLevel="1" x14ac:dyDescent="0.25">
      <c r="B9" s="51" t="s">
        <v>30</v>
      </c>
      <c r="C9" s="300" t="s">
        <v>556</v>
      </c>
      <c r="D9" s="301"/>
      <c r="E9" s="301"/>
      <c r="F9" s="301"/>
      <c r="G9" s="301"/>
      <c r="H9" s="301"/>
      <c r="I9" s="301"/>
      <c r="J9" s="301"/>
      <c r="K9" s="301"/>
      <c r="L9" s="301"/>
      <c r="M9" s="302"/>
      <c r="N9" s="218"/>
      <c r="O9" s="218"/>
      <c r="P9" s="218"/>
      <c r="Q9" s="218"/>
    </row>
    <row r="10" spans="2:33" ht="65.25" hidden="1" customHeight="1" outlineLevel="1" x14ac:dyDescent="0.25">
      <c r="B10" s="51" t="s">
        <v>31</v>
      </c>
      <c r="C10" s="300" t="s">
        <v>557</v>
      </c>
      <c r="D10" s="301"/>
      <c r="E10" s="301"/>
      <c r="F10" s="301"/>
      <c r="G10" s="301"/>
      <c r="H10" s="301"/>
      <c r="I10" s="301"/>
      <c r="J10" s="301"/>
      <c r="K10" s="301"/>
      <c r="L10" s="301"/>
      <c r="M10" s="302"/>
      <c r="N10" s="218"/>
      <c r="O10" s="218"/>
      <c r="P10" s="218"/>
      <c r="Q10" s="218"/>
    </row>
    <row r="11" spans="2:33" collapsed="1" x14ac:dyDescent="0.25"/>
    <row r="12" spans="2:33" ht="13" x14ac:dyDescent="0.3">
      <c r="B12" s="50" t="s">
        <v>33</v>
      </c>
      <c r="C12" s="49"/>
    </row>
    <row r="13" spans="2:33" ht="6.75" customHeight="1" x14ac:dyDescent="0.25"/>
    <row r="14" spans="2:33" ht="21.75" customHeight="1" x14ac:dyDescent="0.25">
      <c r="B14" s="52" t="s">
        <v>34</v>
      </c>
      <c r="C14" s="353" t="s">
        <v>37</v>
      </c>
      <c r="D14" s="354"/>
      <c r="E14" s="355"/>
      <c r="F14" s="341" t="s">
        <v>67</v>
      </c>
      <c r="G14" s="356"/>
      <c r="H14" s="341" t="s">
        <v>3</v>
      </c>
      <c r="I14" s="356"/>
      <c r="J14" s="341" t="s">
        <v>886</v>
      </c>
      <c r="K14" s="342"/>
      <c r="L14" s="342"/>
      <c r="M14" s="342"/>
      <c r="N14" s="341" t="s">
        <v>38</v>
      </c>
      <c r="O14" s="342"/>
      <c r="P14" s="342"/>
      <c r="Q14" s="342"/>
      <c r="S14" s="149"/>
      <c r="T14" s="149" t="s">
        <v>35</v>
      </c>
      <c r="U14" s="149"/>
      <c r="V14" s="149"/>
      <c r="W14" s="149"/>
      <c r="X14" s="149"/>
      <c r="Y14" s="149" t="s">
        <v>45</v>
      </c>
      <c r="Z14" s="149" t="s">
        <v>44</v>
      </c>
    </row>
    <row r="15" spans="2:33" ht="1.5" customHeight="1" thickBot="1" x14ac:dyDescent="0.35">
      <c r="B15" s="314"/>
      <c r="C15" s="314"/>
      <c r="D15" s="314"/>
      <c r="E15" s="314"/>
      <c r="F15" s="314"/>
      <c r="G15" s="314"/>
      <c r="H15" s="314"/>
      <c r="I15" s="314"/>
      <c r="J15" s="314"/>
      <c r="K15" s="314"/>
      <c r="L15" s="314"/>
      <c r="M15" s="314"/>
      <c r="N15" s="219"/>
      <c r="O15" s="219"/>
      <c r="P15" s="219"/>
      <c r="Q15" s="219"/>
    </row>
    <row r="16" spans="2:33" ht="40" customHeight="1" thickBot="1" x14ac:dyDescent="0.35">
      <c r="B16" s="323">
        <v>1</v>
      </c>
      <c r="C16" s="343" t="s">
        <v>1174</v>
      </c>
      <c r="D16" s="343"/>
      <c r="E16" s="343"/>
      <c r="F16" s="361" t="s">
        <v>564</v>
      </c>
      <c r="G16" s="362"/>
      <c r="H16" s="365" t="s">
        <v>42</v>
      </c>
      <c r="I16" s="365"/>
      <c r="J16" s="365" t="s">
        <v>29</v>
      </c>
      <c r="K16" s="365"/>
      <c r="L16" s="365"/>
      <c r="M16" s="365"/>
      <c r="N16" s="359"/>
      <c r="O16" s="359"/>
      <c r="P16" s="359"/>
      <c r="Q16" s="359"/>
      <c r="S16" s="155">
        <f>IF(H16="Nicht anwendbar","n.a.",0)</f>
        <v>0</v>
      </c>
      <c r="T16" s="49">
        <f>IF(H16="Vollständig",1,0)</f>
        <v>0</v>
      </c>
      <c r="U16" s="49">
        <f>IF(H16="In den meisten Fällen",0.75,0)</f>
        <v>0</v>
      </c>
      <c r="V16" s="49">
        <f>IF(H16="In ein Paar Fällen",0.5,0)</f>
        <v>0</v>
      </c>
      <c r="W16" s="49">
        <f>IF(H16="Gar nicht",0,0)</f>
        <v>0</v>
      </c>
      <c r="X16" s="143">
        <f>IFERROR(SUM(T16:W17)/COUNTIF(H16:H17,"&lt;&gt;Nicht anwendbar"),"n.a.")</f>
        <v>0</v>
      </c>
      <c r="Y16" s="48">
        <f>X16</f>
        <v>0</v>
      </c>
      <c r="Z16" s="48">
        <f>IF(Y16&lt;&gt;"n.a.",SUM(Y16,Y18,Y20,Y22,Y24),NA())</f>
        <v>0</v>
      </c>
      <c r="AG16" s="49" t="str">
        <f t="shared" ref="AG16:AG19" si="0">IF(X16&gt;0.5,"Umgesetzt","Nicht umgesetzt")</f>
        <v>Nicht umgesetzt</v>
      </c>
    </row>
    <row r="17" spans="2:33" ht="40" customHeight="1" thickBot="1" x14ac:dyDescent="0.3">
      <c r="B17" s="326"/>
      <c r="C17" s="310" t="s">
        <v>1175</v>
      </c>
      <c r="D17" s="310"/>
      <c r="E17" s="310"/>
      <c r="F17" s="308"/>
      <c r="G17" s="308"/>
      <c r="H17" s="340" t="s">
        <v>42</v>
      </c>
      <c r="I17" s="340"/>
      <c r="J17" s="340"/>
      <c r="K17" s="340"/>
      <c r="L17" s="340"/>
      <c r="M17" s="340"/>
      <c r="N17" s="378"/>
      <c r="O17" s="378"/>
      <c r="P17" s="378"/>
      <c r="Q17" s="378"/>
      <c r="S17" s="75">
        <f t="shared" ref="S17:S25" si="1">IF(H17="Nicht anwendbar","n.a.",0)</f>
        <v>0</v>
      </c>
      <c r="T17" s="75">
        <f t="shared" ref="T17:T25" si="2">IF(H17="Vollständig",1,0)</f>
        <v>0</v>
      </c>
      <c r="U17" s="75">
        <f t="shared" ref="U17" si="3">IF(H17="In den meisten Fällen",0.75,0)</f>
        <v>0</v>
      </c>
      <c r="V17" s="75">
        <f t="shared" ref="V17" si="4">IF(H17="In ein Paar Fällen",0.5,0)</f>
        <v>0</v>
      </c>
      <c r="W17" s="75">
        <f t="shared" ref="W17" si="5">IF(H17="Gar nicht",0,0)</f>
        <v>0</v>
      </c>
      <c r="X17" s="75"/>
      <c r="AG17" s="49" t="str">
        <f t="shared" ref="AG17" si="6">IF(X17&gt;0.5,"Umgesetzt","Nicht umgesetzt")</f>
        <v>Nicht umgesetzt</v>
      </c>
    </row>
    <row r="18" spans="2:33" ht="40" customHeight="1" thickBot="1" x14ac:dyDescent="0.3">
      <c r="B18" s="325">
        <v>2</v>
      </c>
      <c r="C18" s="343" t="s">
        <v>553</v>
      </c>
      <c r="D18" s="343"/>
      <c r="E18" s="343"/>
      <c r="F18" s="361" t="s">
        <v>565</v>
      </c>
      <c r="G18" s="362"/>
      <c r="H18" s="365" t="s">
        <v>42</v>
      </c>
      <c r="I18" s="365"/>
      <c r="J18" s="352" t="s">
        <v>970</v>
      </c>
      <c r="K18" s="352"/>
      <c r="L18" s="352"/>
      <c r="M18" s="352"/>
      <c r="N18" s="401"/>
      <c r="O18" s="401"/>
      <c r="P18" s="401"/>
      <c r="Q18" s="401"/>
      <c r="S18" s="49">
        <f t="shared" si="1"/>
        <v>0</v>
      </c>
      <c r="T18" s="49">
        <f t="shared" si="2"/>
        <v>0</v>
      </c>
      <c r="U18" s="49">
        <f>IF(H18="In den meisten Fällen",0.75,0)</f>
        <v>0</v>
      </c>
      <c r="V18" s="49">
        <f>IF(H18="In ein Paar Fällen",0.5,0)</f>
        <v>0</v>
      </c>
      <c r="W18" s="49">
        <f>IF(H18="Gar nicht",0,0)</f>
        <v>0</v>
      </c>
      <c r="X18" s="143">
        <f>IFERROR(SUM(T18:W19)/COUNTIF(H18:H19,"&lt;&gt;Nicht anwendbar"),"n.a.")</f>
        <v>0</v>
      </c>
      <c r="Y18" s="48">
        <f>IF(X16=1,X18,0)</f>
        <v>0</v>
      </c>
      <c r="AG18" s="49" t="str">
        <f t="shared" si="0"/>
        <v>Nicht umgesetzt</v>
      </c>
    </row>
    <row r="19" spans="2:33" ht="40" customHeight="1" thickBot="1" x14ac:dyDescent="0.3">
      <c r="B19" s="326"/>
      <c r="C19" s="308" t="s">
        <v>1148</v>
      </c>
      <c r="D19" s="308"/>
      <c r="E19" s="308"/>
      <c r="F19" s="308"/>
      <c r="G19" s="308"/>
      <c r="H19" s="340" t="s">
        <v>42</v>
      </c>
      <c r="I19" s="340"/>
      <c r="J19" s="275"/>
      <c r="K19" s="275"/>
      <c r="L19" s="275"/>
      <c r="M19" s="275"/>
      <c r="N19" s="339"/>
      <c r="O19" s="339"/>
      <c r="P19" s="339"/>
      <c r="Q19" s="339"/>
      <c r="S19" s="75">
        <f t="shared" si="1"/>
        <v>0</v>
      </c>
      <c r="T19" s="75">
        <f t="shared" si="2"/>
        <v>0</v>
      </c>
      <c r="U19" s="75">
        <f t="shared" ref="U19:U25" si="7">IF(H19="In den meisten Fällen",0.75,0)</f>
        <v>0</v>
      </c>
      <c r="V19" s="75">
        <f t="shared" ref="V19:V25" si="8">IF(H19="In ein Paar Fällen",0.5,0)</f>
        <v>0</v>
      </c>
      <c r="W19" s="75">
        <f t="shared" ref="W19:W25" si="9">IF(H19="Gar nicht",0,0)</f>
        <v>0</v>
      </c>
      <c r="X19" s="75"/>
      <c r="AG19" s="49" t="str">
        <f t="shared" si="0"/>
        <v>Nicht umgesetzt</v>
      </c>
    </row>
    <row r="20" spans="2:33" ht="40" customHeight="1" thickBot="1" x14ac:dyDescent="0.3">
      <c r="B20" s="325">
        <v>3</v>
      </c>
      <c r="C20" s="344" t="s">
        <v>558</v>
      </c>
      <c r="D20" s="345"/>
      <c r="E20" s="345"/>
      <c r="F20" s="361" t="s">
        <v>566</v>
      </c>
      <c r="G20" s="362"/>
      <c r="H20" s="365" t="s">
        <v>42</v>
      </c>
      <c r="I20" s="365"/>
      <c r="J20" s="357" t="s">
        <v>971</v>
      </c>
      <c r="K20" s="358"/>
      <c r="L20" s="358"/>
      <c r="M20" s="358"/>
      <c r="N20" s="401"/>
      <c r="O20" s="401"/>
      <c r="P20" s="401"/>
      <c r="Q20" s="401"/>
      <c r="S20" s="48">
        <f t="shared" si="1"/>
        <v>0</v>
      </c>
      <c r="T20" s="49">
        <f t="shared" si="2"/>
        <v>0</v>
      </c>
      <c r="U20" s="49">
        <f t="shared" si="7"/>
        <v>0</v>
      </c>
      <c r="V20" s="49">
        <f t="shared" si="8"/>
        <v>0</v>
      </c>
      <c r="W20" s="49">
        <f t="shared" si="9"/>
        <v>0</v>
      </c>
      <c r="X20" s="143">
        <f>IFERROR(SUM(T20:W21)/COUNTIF(H20:H21,"&lt;&gt;Nicht anwendbar"),"n.a.")</f>
        <v>0</v>
      </c>
      <c r="Y20" s="48">
        <f>IF(Y18=1,X20,0)</f>
        <v>0</v>
      </c>
    </row>
    <row r="21" spans="2:33" ht="40" customHeight="1" thickBot="1" x14ac:dyDescent="0.3">
      <c r="B21" s="326"/>
      <c r="C21" s="368" t="s">
        <v>559</v>
      </c>
      <c r="D21" s="368"/>
      <c r="E21" s="368"/>
      <c r="F21" s="308"/>
      <c r="G21" s="308"/>
      <c r="H21" s="340" t="s">
        <v>42</v>
      </c>
      <c r="I21" s="340"/>
      <c r="J21" s="270"/>
      <c r="K21" s="270"/>
      <c r="L21" s="270"/>
      <c r="M21" s="270"/>
      <c r="N21" s="339"/>
      <c r="O21" s="339"/>
      <c r="P21" s="339"/>
      <c r="Q21" s="339"/>
      <c r="S21" s="75">
        <f t="shared" si="1"/>
        <v>0</v>
      </c>
      <c r="T21" s="75">
        <f t="shared" si="2"/>
        <v>0</v>
      </c>
      <c r="U21" s="75">
        <f t="shared" si="7"/>
        <v>0</v>
      </c>
      <c r="V21" s="75">
        <f t="shared" si="8"/>
        <v>0</v>
      </c>
      <c r="W21" s="75">
        <f t="shared" si="9"/>
        <v>0</v>
      </c>
      <c r="X21" s="75"/>
    </row>
    <row r="22" spans="2:33" ht="40" customHeight="1" thickBot="1" x14ac:dyDescent="0.3">
      <c r="B22" s="325">
        <v>4</v>
      </c>
      <c r="C22" s="343" t="s">
        <v>560</v>
      </c>
      <c r="D22" s="343"/>
      <c r="E22" s="343"/>
      <c r="F22" s="361" t="s">
        <v>567</v>
      </c>
      <c r="G22" s="362"/>
      <c r="H22" s="366" t="s">
        <v>42</v>
      </c>
      <c r="I22" s="366"/>
      <c r="J22" s="351" t="s">
        <v>972</v>
      </c>
      <c r="K22" s="352"/>
      <c r="L22" s="352"/>
      <c r="M22" s="352"/>
      <c r="N22" s="401"/>
      <c r="O22" s="401"/>
      <c r="P22" s="401"/>
      <c r="Q22" s="401"/>
      <c r="S22" s="49">
        <f t="shared" si="1"/>
        <v>0</v>
      </c>
      <c r="T22" s="49">
        <f t="shared" si="2"/>
        <v>0</v>
      </c>
      <c r="U22" s="49">
        <f t="shared" si="7"/>
        <v>0</v>
      </c>
      <c r="V22" s="49">
        <f t="shared" si="8"/>
        <v>0</v>
      </c>
      <c r="W22" s="49">
        <f t="shared" si="9"/>
        <v>0</v>
      </c>
      <c r="X22" s="143">
        <f>IFERROR(SUM(T22:W23)/COUNTIF(H22:H23,"&lt;&gt;Nicht anwendbar"),"n.a.")</f>
        <v>0</v>
      </c>
      <c r="Y22" s="48">
        <f>IF(Y20=1,X22,0)</f>
        <v>0</v>
      </c>
    </row>
    <row r="23" spans="2:33" ht="40" customHeight="1" thickBot="1" x14ac:dyDescent="0.3">
      <c r="B23" s="323"/>
      <c r="C23" s="350" t="s">
        <v>561</v>
      </c>
      <c r="D23" s="350"/>
      <c r="E23" s="350"/>
      <c r="F23" s="308"/>
      <c r="G23" s="308"/>
      <c r="H23" s="366" t="s">
        <v>42</v>
      </c>
      <c r="I23" s="366"/>
      <c r="J23" s="275"/>
      <c r="K23" s="275"/>
      <c r="L23" s="275"/>
      <c r="M23" s="275"/>
      <c r="N23" s="339"/>
      <c r="O23" s="339"/>
      <c r="P23" s="339"/>
      <c r="Q23" s="339"/>
      <c r="S23" s="149">
        <f t="shared" si="1"/>
        <v>0</v>
      </c>
      <c r="T23" s="149">
        <f t="shared" si="2"/>
        <v>0</v>
      </c>
      <c r="U23" s="149">
        <f t="shared" si="7"/>
        <v>0</v>
      </c>
      <c r="V23" s="149">
        <f t="shared" si="8"/>
        <v>0</v>
      </c>
      <c r="W23" s="149">
        <f t="shared" si="9"/>
        <v>0</v>
      </c>
      <c r="X23" s="149"/>
    </row>
    <row r="24" spans="2:33" ht="40" customHeight="1" thickBot="1" x14ac:dyDescent="0.3">
      <c r="B24" s="325">
        <v>5</v>
      </c>
      <c r="C24" s="343" t="s">
        <v>562</v>
      </c>
      <c r="D24" s="343"/>
      <c r="E24" s="343"/>
      <c r="F24" s="361" t="s">
        <v>568</v>
      </c>
      <c r="G24" s="362"/>
      <c r="H24" s="365" t="s">
        <v>42</v>
      </c>
      <c r="I24" s="365"/>
      <c r="J24" s="351" t="s">
        <v>973</v>
      </c>
      <c r="K24" s="352"/>
      <c r="L24" s="352"/>
      <c r="M24" s="352"/>
      <c r="N24" s="401"/>
      <c r="O24" s="401"/>
      <c r="P24" s="401"/>
      <c r="Q24" s="401"/>
      <c r="S24" s="157">
        <f t="shared" si="1"/>
        <v>0</v>
      </c>
      <c r="T24" s="157">
        <f t="shared" si="2"/>
        <v>0</v>
      </c>
      <c r="U24" s="157">
        <f t="shared" si="7"/>
        <v>0</v>
      </c>
      <c r="V24" s="157">
        <f t="shared" si="8"/>
        <v>0</v>
      </c>
      <c r="W24" s="157">
        <f t="shared" si="9"/>
        <v>0</v>
      </c>
      <c r="X24" s="143">
        <f>IFERROR(SUM(T24:W25)/COUNTIF(H24:H25,"&lt;&gt;Nicht anwendbar"),"n.a.")</f>
        <v>0</v>
      </c>
      <c r="Y24" s="48">
        <f>IF(Y22=1,X24,0)</f>
        <v>0</v>
      </c>
    </row>
    <row r="25" spans="2:33" ht="40" customHeight="1" thickBot="1" x14ac:dyDescent="0.3">
      <c r="B25" s="326"/>
      <c r="C25" s="310" t="s">
        <v>563</v>
      </c>
      <c r="D25" s="310"/>
      <c r="E25" s="310"/>
      <c r="F25" s="308"/>
      <c r="G25" s="308"/>
      <c r="H25" s="340" t="s">
        <v>42</v>
      </c>
      <c r="I25" s="340"/>
      <c r="J25" s="275"/>
      <c r="K25" s="275"/>
      <c r="L25" s="275"/>
      <c r="M25" s="275"/>
      <c r="N25" s="414"/>
      <c r="O25" s="414"/>
      <c r="P25" s="414"/>
      <c r="Q25" s="414"/>
      <c r="S25" s="149">
        <f t="shared" si="1"/>
        <v>0</v>
      </c>
      <c r="T25" s="149">
        <f t="shared" si="2"/>
        <v>0</v>
      </c>
      <c r="U25" s="149">
        <f t="shared" si="7"/>
        <v>0</v>
      </c>
      <c r="V25" s="149">
        <f t="shared" si="8"/>
        <v>0</v>
      </c>
      <c r="W25" s="149">
        <f t="shared" si="9"/>
        <v>0</v>
      </c>
      <c r="X25" s="149"/>
    </row>
  </sheetData>
  <sheetProtection formatCells="0"/>
  <protectedRanges>
    <protectedRange sqref="N31:Q32" name="Bereich1"/>
    <protectedRange sqref="N22:Q22 N26:Q26 N24:Q24 N20:Q20 N18:Q18" name="Bereich1_1"/>
  </protectedRanges>
  <mergeCells count="57">
    <mergeCell ref="J22:M23"/>
    <mergeCell ref="J24:M25"/>
    <mergeCell ref="B24:B25"/>
    <mergeCell ref="C24:E24"/>
    <mergeCell ref="F24:G25"/>
    <mergeCell ref="H24:I24"/>
    <mergeCell ref="C25:E25"/>
    <mergeCell ref="H25:I25"/>
    <mergeCell ref="B22:B23"/>
    <mergeCell ref="C22:E22"/>
    <mergeCell ref="F22:G23"/>
    <mergeCell ref="H22:I22"/>
    <mergeCell ref="C23:E23"/>
    <mergeCell ref="H23:I23"/>
    <mergeCell ref="H20:I20"/>
    <mergeCell ref="C18:E18"/>
    <mergeCell ref="F18:G19"/>
    <mergeCell ref="H18:I18"/>
    <mergeCell ref="C19:E19"/>
    <mergeCell ref="H19:I19"/>
    <mergeCell ref="J18:M19"/>
    <mergeCell ref="J20:M21"/>
    <mergeCell ref="B15:M15"/>
    <mergeCell ref="B16:B17"/>
    <mergeCell ref="F16:G17"/>
    <mergeCell ref="C16:E16"/>
    <mergeCell ref="H16:I16"/>
    <mergeCell ref="C17:E17"/>
    <mergeCell ref="H17:I17"/>
    <mergeCell ref="J16:M17"/>
    <mergeCell ref="B18:B19"/>
    <mergeCell ref="C21:E21"/>
    <mergeCell ref="H21:I21"/>
    <mergeCell ref="B20:B21"/>
    <mergeCell ref="C20:E20"/>
    <mergeCell ref="F20:G21"/>
    <mergeCell ref="B4:M4"/>
    <mergeCell ref="C6:G6"/>
    <mergeCell ref="C7:M7"/>
    <mergeCell ref="C8:M8"/>
    <mergeCell ref="C9:M9"/>
    <mergeCell ref="C10:M10"/>
    <mergeCell ref="C14:E14"/>
    <mergeCell ref="F14:G14"/>
    <mergeCell ref="H14:I14"/>
    <mergeCell ref="J14:M14"/>
    <mergeCell ref="N14:Q14"/>
    <mergeCell ref="N16:Q16"/>
    <mergeCell ref="N17:Q17"/>
    <mergeCell ref="N18:Q18"/>
    <mergeCell ref="N19:Q19"/>
    <mergeCell ref="N25:Q25"/>
    <mergeCell ref="N20:Q20"/>
    <mergeCell ref="N21:Q21"/>
    <mergeCell ref="N22:Q22"/>
    <mergeCell ref="N23:Q23"/>
    <mergeCell ref="N24:Q24"/>
  </mergeCells>
  <conditionalFormatting sqref="H16:I16 H18:I25">
    <cfRule type="containsText" dxfId="31" priority="2" operator="containsText" text="Bitte auswählen">
      <formula>NOT(ISERROR(SEARCH("Bitte auswählen",H16)))</formula>
    </cfRule>
  </conditionalFormatting>
  <conditionalFormatting sqref="H17:I17">
    <cfRule type="containsText" dxfId="30" priority="1" operator="containsText" text="Bitte auswählen">
      <formula>NOT(ISERROR(SEARCH("Bitte auswählen",H17)))</formula>
    </cfRule>
  </conditionalFormatting>
  <dataValidations xWindow="775" yWindow="400" count="2">
    <dataValidation allowBlank="1" showInputMessage="1" showErrorMessage="1" promptTitle="[+] Klicken" prompt="Hier können Sie sich erweiterte Informationen zu dem Prozess anzeigen lassen." sqref="A11" xr:uid="{085FCB37-400B-48F4-8A9C-8899C84B85D1}"/>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8A94273F-A7F1-4B5B-8258-735BE11B08C1}"/>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775" yWindow="400" count="1">
        <x14:dataValidation type="list" allowBlank="1" showInputMessage="1" showErrorMessage="1" xr:uid="{C25B9642-5CD7-4538-811D-A4195DB53FBA}">
          <x14:formula1>
            <xm:f>Data!$I$3:$I$8</xm:f>
          </x14:formula1>
          <xm:sqref>H16:I25</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2D5D3-A8BA-4745-A776-791EC3DEE19B}">
  <sheetPr>
    <tabColor rgb="FF333399"/>
    <pageSetUpPr fitToPage="1"/>
  </sheetPr>
  <dimension ref="B4:AG26"/>
  <sheetViews>
    <sheetView showGridLines="0" zoomScale="90" zoomScaleNormal="90" zoomScalePageLayoutView="85" workbookViewId="0"/>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68.54296875" style="48" hidden="1" customWidth="1" outlineLevel="1"/>
    <col min="7" max="7" width="26.453125" style="48" hidden="1" customWidth="1" outlineLevel="1"/>
    <col min="8" max="8" width="11.453125" style="48" collapsed="1"/>
    <col min="9" max="10" width="11.453125" style="48"/>
    <col min="11" max="11" width="13.26953125" style="48" customWidth="1"/>
    <col min="12" max="12" width="11.453125" style="48"/>
    <col min="13" max="13" width="16.1796875" style="48" customWidth="1"/>
    <col min="14" max="14" width="11.453125" style="48"/>
    <col min="15" max="15" width="13.26953125" style="48" customWidth="1"/>
    <col min="16" max="16" width="11.453125" style="48"/>
    <col min="17" max="17" width="24.81640625" style="48" customWidth="1"/>
    <col min="18" max="18" width="11.453125" style="49"/>
    <col min="19" max="24" width="11.453125" style="48" customWidth="1"/>
    <col min="25" max="25" width="14" style="48" customWidth="1"/>
    <col min="26" max="32" width="11.453125" style="48" customWidth="1"/>
    <col min="33" max="33" width="11.453125" style="48" hidden="1" customWidth="1"/>
    <col min="34" max="16384" width="11.453125" style="48"/>
  </cols>
  <sheetData>
    <row r="4" spans="2:33" ht="14" x14ac:dyDescent="0.3">
      <c r="B4" s="290" t="s">
        <v>39</v>
      </c>
      <c r="C4" s="290"/>
      <c r="D4" s="290"/>
      <c r="E4" s="290"/>
      <c r="F4" s="290"/>
      <c r="G4" s="290"/>
      <c r="H4" s="290"/>
      <c r="I4" s="290"/>
      <c r="J4" s="290"/>
      <c r="K4" s="290"/>
      <c r="L4" s="290"/>
      <c r="M4" s="290"/>
      <c r="N4" s="216"/>
      <c r="O4" s="216"/>
      <c r="P4" s="216"/>
      <c r="Q4" s="216"/>
    </row>
    <row r="5" spans="2:33" ht="9" customHeight="1" x14ac:dyDescent="0.25"/>
    <row r="6" spans="2:33" ht="32.25" customHeight="1" thickBot="1" x14ac:dyDescent="0.3">
      <c r="B6" s="162" t="s">
        <v>121</v>
      </c>
      <c r="C6" s="293" t="s">
        <v>172</v>
      </c>
      <c r="D6" s="293"/>
      <c r="E6" s="293"/>
      <c r="F6" s="293"/>
      <c r="G6" s="293"/>
      <c r="H6" s="53"/>
      <c r="I6" s="53"/>
      <c r="J6" s="53"/>
      <c r="K6" s="53" t="s">
        <v>36</v>
      </c>
      <c r="L6" s="55">
        <f>ROUNDDOWN(Z16/0.25,0)*0.25</f>
        <v>0</v>
      </c>
      <c r="M6" s="54" t="str">
        <f>IF(L6&lt;1,"Unvollständig",IF(L6&lt;2,"Initial",IF(L6&lt;3,"Gemanagt",IF(L6&lt;4,"Definiert",IF(L6&lt;5,"Quantitativ gemanagt",IF(L6&lt;6,"Optimiert","Ausstehend"))))))</f>
        <v>Unvollständig</v>
      </c>
      <c r="N6" s="53"/>
      <c r="O6" s="53"/>
      <c r="P6" s="55"/>
      <c r="Q6" s="54"/>
    </row>
    <row r="7" spans="2:33" ht="35.25" hidden="1" customHeight="1" outlineLevel="1" x14ac:dyDescent="0.25">
      <c r="B7" s="76" t="s">
        <v>211</v>
      </c>
      <c r="C7" s="294" t="s">
        <v>570</v>
      </c>
      <c r="D7" s="295"/>
      <c r="E7" s="295"/>
      <c r="F7" s="295"/>
      <c r="G7" s="295"/>
      <c r="H7" s="295"/>
      <c r="I7" s="295"/>
      <c r="J7" s="295"/>
      <c r="K7" s="295"/>
      <c r="L7" s="295"/>
      <c r="M7" s="296"/>
      <c r="N7" s="218"/>
      <c r="O7" s="218"/>
      <c r="P7" s="218"/>
      <c r="Q7" s="218"/>
    </row>
    <row r="8" spans="2:33" ht="70.5" hidden="1" customHeight="1" outlineLevel="1" x14ac:dyDescent="0.25">
      <c r="B8" s="51" t="s">
        <v>212</v>
      </c>
      <c r="C8" s="297" t="s">
        <v>581</v>
      </c>
      <c r="D8" s="298"/>
      <c r="E8" s="298"/>
      <c r="F8" s="298"/>
      <c r="G8" s="298"/>
      <c r="H8" s="298"/>
      <c r="I8" s="298"/>
      <c r="J8" s="298"/>
      <c r="K8" s="298"/>
      <c r="L8" s="298"/>
      <c r="M8" s="299"/>
      <c r="N8" s="217"/>
      <c r="O8" s="217"/>
      <c r="P8" s="217"/>
      <c r="Q8" s="217"/>
    </row>
    <row r="9" spans="2:33" ht="75" hidden="1" customHeight="1" outlineLevel="1" x14ac:dyDescent="0.25">
      <c r="B9" s="51" t="s">
        <v>30</v>
      </c>
      <c r="C9" s="300" t="s">
        <v>582</v>
      </c>
      <c r="D9" s="301"/>
      <c r="E9" s="301"/>
      <c r="F9" s="301"/>
      <c r="G9" s="301"/>
      <c r="H9" s="301"/>
      <c r="I9" s="301"/>
      <c r="J9" s="301"/>
      <c r="K9" s="301"/>
      <c r="L9" s="301"/>
      <c r="M9" s="302"/>
      <c r="N9" s="218"/>
      <c r="O9" s="218"/>
      <c r="P9" s="218"/>
      <c r="Q9" s="218"/>
    </row>
    <row r="10" spans="2:33" ht="65.25" hidden="1" customHeight="1" outlineLevel="1" x14ac:dyDescent="0.25">
      <c r="B10" s="51" t="s">
        <v>31</v>
      </c>
      <c r="C10" s="300" t="s">
        <v>583</v>
      </c>
      <c r="D10" s="301"/>
      <c r="E10" s="301"/>
      <c r="F10" s="301"/>
      <c r="G10" s="301"/>
      <c r="H10" s="301"/>
      <c r="I10" s="301"/>
      <c r="J10" s="301"/>
      <c r="K10" s="301"/>
      <c r="L10" s="301"/>
      <c r="M10" s="302"/>
      <c r="N10" s="218"/>
      <c r="O10" s="218"/>
      <c r="P10" s="218"/>
      <c r="Q10" s="218"/>
    </row>
    <row r="11" spans="2:33" collapsed="1" x14ac:dyDescent="0.25"/>
    <row r="12" spans="2:33" ht="13" x14ac:dyDescent="0.3">
      <c r="B12" s="50" t="s">
        <v>33</v>
      </c>
      <c r="C12" s="49"/>
    </row>
    <row r="13" spans="2:33" ht="6.75" customHeight="1" x14ac:dyDescent="0.25"/>
    <row r="14" spans="2:33" ht="21.75" customHeight="1" x14ac:dyDescent="0.25">
      <c r="B14" s="52" t="s">
        <v>34</v>
      </c>
      <c r="C14" s="353" t="s">
        <v>37</v>
      </c>
      <c r="D14" s="354"/>
      <c r="E14" s="355"/>
      <c r="F14" s="341" t="s">
        <v>67</v>
      </c>
      <c r="G14" s="356"/>
      <c r="H14" s="341" t="s">
        <v>3</v>
      </c>
      <c r="I14" s="356"/>
      <c r="J14" s="341" t="s">
        <v>886</v>
      </c>
      <c r="K14" s="342"/>
      <c r="L14" s="342"/>
      <c r="M14" s="342"/>
      <c r="N14" s="341" t="s">
        <v>38</v>
      </c>
      <c r="O14" s="342"/>
      <c r="P14" s="342"/>
      <c r="Q14" s="342"/>
      <c r="S14" s="149"/>
      <c r="T14" s="149" t="s">
        <v>35</v>
      </c>
      <c r="U14" s="149"/>
      <c r="V14" s="149"/>
      <c r="W14" s="149"/>
      <c r="X14" s="149"/>
      <c r="Y14" s="149" t="s">
        <v>45</v>
      </c>
      <c r="Z14" s="149" t="s">
        <v>44</v>
      </c>
    </row>
    <row r="15" spans="2:33" ht="1.5" customHeight="1" x14ac:dyDescent="0.3">
      <c r="B15" s="314"/>
      <c r="C15" s="314"/>
      <c r="D15" s="314"/>
      <c r="E15" s="314"/>
      <c r="F15" s="314"/>
      <c r="G15" s="314"/>
      <c r="H15" s="314"/>
      <c r="I15" s="314"/>
      <c r="J15" s="314"/>
      <c r="K15" s="314"/>
      <c r="L15" s="314"/>
      <c r="M15" s="314"/>
      <c r="N15" s="219"/>
      <c r="O15" s="219"/>
      <c r="P15" s="219"/>
      <c r="Q15" s="219"/>
    </row>
    <row r="16" spans="2:33" ht="40" customHeight="1" thickBot="1" x14ac:dyDescent="0.35">
      <c r="B16" s="182">
        <v>1</v>
      </c>
      <c r="C16" s="310" t="s">
        <v>1149</v>
      </c>
      <c r="D16" s="310"/>
      <c r="E16" s="310"/>
      <c r="F16" s="310" t="s">
        <v>584</v>
      </c>
      <c r="G16" s="310"/>
      <c r="H16" s="340" t="s">
        <v>42</v>
      </c>
      <c r="I16" s="340"/>
      <c r="J16" s="340" t="s">
        <v>29</v>
      </c>
      <c r="K16" s="340"/>
      <c r="L16" s="340"/>
      <c r="M16" s="340"/>
      <c r="N16" s="415"/>
      <c r="O16" s="415"/>
      <c r="P16" s="415"/>
      <c r="Q16" s="415"/>
      <c r="S16" s="74">
        <f>IF(H16="Nicht anwendbar","n.a.",0)</f>
        <v>0</v>
      </c>
      <c r="T16" s="75">
        <f>IF(H16="Vollständig",1,0)</f>
        <v>0</v>
      </c>
      <c r="U16" s="75">
        <f>IF(H16="In den meisten Fällen",0.75,0)</f>
        <v>0</v>
      </c>
      <c r="V16" s="75">
        <f>IF(H16="In ein Paar Fällen",0.5,0)</f>
        <v>0</v>
      </c>
      <c r="W16" s="75">
        <f>IF(H16="Gar nicht",0,0)</f>
        <v>0</v>
      </c>
      <c r="X16" s="75">
        <f>IF(S16&gt;0,"n.a.",SUM(S16:W16))</f>
        <v>0</v>
      </c>
      <c r="Y16" s="48">
        <f>X16</f>
        <v>0</v>
      </c>
      <c r="Z16" s="48">
        <f>IF(Y16&lt;&gt;"n.a.",SUM(Y16,Y17,Y19,Y22,Y25),NA())</f>
        <v>0</v>
      </c>
      <c r="AG16" s="49" t="str">
        <f t="shared" ref="AG16:AG18" si="0">IF(X16&gt;0.5,"Umgesetzt","Nicht umgesetzt")</f>
        <v>Nicht umgesetzt</v>
      </c>
    </row>
    <row r="17" spans="2:33" ht="40" customHeight="1" thickBot="1" x14ac:dyDescent="0.3">
      <c r="B17" s="325">
        <v>2</v>
      </c>
      <c r="C17" s="343" t="s">
        <v>571</v>
      </c>
      <c r="D17" s="343"/>
      <c r="E17" s="343"/>
      <c r="F17" s="361" t="s">
        <v>585</v>
      </c>
      <c r="G17" s="362"/>
      <c r="H17" s="365" t="s">
        <v>42</v>
      </c>
      <c r="I17" s="365"/>
      <c r="J17" s="351" t="s">
        <v>974</v>
      </c>
      <c r="K17" s="352"/>
      <c r="L17" s="352"/>
      <c r="M17" s="352"/>
      <c r="N17" s="339"/>
      <c r="O17" s="339"/>
      <c r="P17" s="339"/>
      <c r="Q17" s="339"/>
      <c r="S17" s="49">
        <f t="shared" ref="S17:S26" si="1">IF(H17="Nicht anwendbar","n.a.",0)</f>
        <v>0</v>
      </c>
      <c r="T17" s="49">
        <f t="shared" ref="T17:T26" si="2">IF(H17="Vollständig",1,0)</f>
        <v>0</v>
      </c>
      <c r="U17" s="49">
        <f>IF(H17="In den meisten Fällen",0.75,0)</f>
        <v>0</v>
      </c>
      <c r="V17" s="49">
        <f>IF(H17="In ein Paar Fällen",0.5,0)</f>
        <v>0</v>
      </c>
      <c r="W17" s="49">
        <f>IF(H17="Gar nicht",0,0)</f>
        <v>0</v>
      </c>
      <c r="X17" s="143">
        <f>IFERROR(SUM(T17:W18)/COUNTIF(H17:H18,"&lt;&gt;Nicht anwendbar"),"n.a.")</f>
        <v>0</v>
      </c>
      <c r="Y17" s="48">
        <f>IF(X16=1,X17,0)</f>
        <v>0</v>
      </c>
      <c r="AG17" s="49" t="str">
        <f t="shared" si="0"/>
        <v>Nicht umgesetzt</v>
      </c>
    </row>
    <row r="18" spans="2:33" ht="40" customHeight="1" thickBot="1" x14ac:dyDescent="0.3">
      <c r="B18" s="326"/>
      <c r="C18" s="308" t="s">
        <v>572</v>
      </c>
      <c r="D18" s="308"/>
      <c r="E18" s="308"/>
      <c r="F18" s="308"/>
      <c r="G18" s="308"/>
      <c r="H18" s="340" t="s">
        <v>42</v>
      </c>
      <c r="I18" s="340"/>
      <c r="J18" s="275"/>
      <c r="K18" s="275"/>
      <c r="L18" s="275"/>
      <c r="M18" s="275"/>
      <c r="N18" s="339"/>
      <c r="O18" s="339"/>
      <c r="P18" s="339"/>
      <c r="Q18" s="339"/>
      <c r="S18" s="75">
        <f t="shared" si="1"/>
        <v>0</v>
      </c>
      <c r="T18" s="75">
        <f t="shared" si="2"/>
        <v>0</v>
      </c>
      <c r="U18" s="75">
        <f t="shared" ref="U18:U26" si="3">IF(H18="In den meisten Fällen",0.75,0)</f>
        <v>0</v>
      </c>
      <c r="V18" s="75">
        <f t="shared" ref="V18:V26" si="4">IF(H18="In ein Paar Fällen",0.5,0)</f>
        <v>0</v>
      </c>
      <c r="W18" s="75">
        <f t="shared" ref="W18:W26" si="5">IF(H18="Gar nicht",0,0)</f>
        <v>0</v>
      </c>
      <c r="X18" s="75"/>
      <c r="AG18" s="49" t="str">
        <f t="shared" si="0"/>
        <v>Nicht umgesetzt</v>
      </c>
    </row>
    <row r="19" spans="2:33" ht="40" customHeight="1" thickBot="1" x14ac:dyDescent="0.3">
      <c r="B19" s="325">
        <v>3</v>
      </c>
      <c r="C19" s="344" t="s">
        <v>573</v>
      </c>
      <c r="D19" s="345"/>
      <c r="E19" s="345"/>
      <c r="F19" s="370" t="s">
        <v>586</v>
      </c>
      <c r="G19" s="371"/>
      <c r="H19" s="365" t="s">
        <v>42</v>
      </c>
      <c r="I19" s="365"/>
      <c r="J19" s="357" t="s">
        <v>975</v>
      </c>
      <c r="K19" s="358"/>
      <c r="L19" s="358"/>
      <c r="M19" s="358"/>
      <c r="N19" s="401"/>
      <c r="O19" s="401"/>
      <c r="P19" s="401"/>
      <c r="Q19" s="401"/>
      <c r="S19" s="48">
        <f t="shared" si="1"/>
        <v>0</v>
      </c>
      <c r="T19" s="49">
        <f t="shared" si="2"/>
        <v>0</v>
      </c>
      <c r="U19" s="49">
        <f t="shared" si="3"/>
        <v>0</v>
      </c>
      <c r="V19" s="49">
        <f t="shared" si="4"/>
        <v>0</v>
      </c>
      <c r="W19" s="49">
        <f t="shared" si="5"/>
        <v>0</v>
      </c>
      <c r="X19" s="143">
        <f>IFERROR(SUM(T19:W21)/COUNTIF(H19:H21,"&lt;&gt;Nicht anwendbar"),"n.a.")</f>
        <v>0</v>
      </c>
      <c r="Y19" s="48">
        <f>IF(Y17=1,X19,0)</f>
        <v>0</v>
      </c>
    </row>
    <row r="20" spans="2:33" ht="40" customHeight="1" thickBot="1" x14ac:dyDescent="0.3">
      <c r="B20" s="323"/>
      <c r="C20" s="347" t="s">
        <v>574</v>
      </c>
      <c r="D20" s="348"/>
      <c r="E20" s="348"/>
      <c r="F20" s="337"/>
      <c r="G20" s="337"/>
      <c r="H20" s="366" t="s">
        <v>42</v>
      </c>
      <c r="I20" s="366"/>
      <c r="J20" s="282"/>
      <c r="K20" s="282"/>
      <c r="L20" s="282"/>
      <c r="M20" s="282"/>
      <c r="N20" s="339"/>
      <c r="O20" s="339"/>
      <c r="P20" s="339"/>
      <c r="Q20" s="339"/>
      <c r="S20" s="48">
        <f t="shared" si="1"/>
        <v>0</v>
      </c>
      <c r="T20" s="49">
        <f t="shared" si="2"/>
        <v>0</v>
      </c>
      <c r="U20" s="49">
        <f t="shared" si="3"/>
        <v>0</v>
      </c>
      <c r="V20" s="49">
        <f t="shared" si="4"/>
        <v>0</v>
      </c>
      <c r="W20" s="49">
        <f t="shared" si="5"/>
        <v>0</v>
      </c>
    </row>
    <row r="21" spans="2:33" ht="40" customHeight="1" thickBot="1" x14ac:dyDescent="0.3">
      <c r="B21" s="326"/>
      <c r="C21" s="368" t="s">
        <v>575</v>
      </c>
      <c r="D21" s="368"/>
      <c r="E21" s="368"/>
      <c r="F21" s="386"/>
      <c r="G21" s="386"/>
      <c r="H21" s="340" t="s">
        <v>42</v>
      </c>
      <c r="I21" s="340"/>
      <c r="J21" s="270"/>
      <c r="K21" s="270"/>
      <c r="L21" s="270"/>
      <c r="M21" s="270"/>
      <c r="N21" s="339"/>
      <c r="O21" s="339"/>
      <c r="P21" s="339"/>
      <c r="Q21" s="339"/>
      <c r="S21" s="75">
        <f t="shared" si="1"/>
        <v>0</v>
      </c>
      <c r="T21" s="75">
        <f t="shared" si="2"/>
        <v>0</v>
      </c>
      <c r="U21" s="75">
        <f t="shared" si="3"/>
        <v>0</v>
      </c>
      <c r="V21" s="75">
        <f t="shared" si="4"/>
        <v>0</v>
      </c>
      <c r="W21" s="75">
        <f t="shared" si="5"/>
        <v>0</v>
      </c>
      <c r="X21" s="75"/>
    </row>
    <row r="22" spans="2:33" ht="40" customHeight="1" thickBot="1" x14ac:dyDescent="0.3">
      <c r="B22" s="325">
        <v>4</v>
      </c>
      <c r="C22" s="343" t="s">
        <v>576</v>
      </c>
      <c r="D22" s="343"/>
      <c r="E22" s="343"/>
      <c r="F22" s="361" t="s">
        <v>587</v>
      </c>
      <c r="G22" s="362"/>
      <c r="H22" s="365" t="s">
        <v>42</v>
      </c>
      <c r="I22" s="365"/>
      <c r="J22" s="351" t="s">
        <v>976</v>
      </c>
      <c r="K22" s="352"/>
      <c r="L22" s="352"/>
      <c r="M22" s="352"/>
      <c r="N22" s="401"/>
      <c r="O22" s="401"/>
      <c r="P22" s="401"/>
      <c r="Q22" s="401"/>
      <c r="S22" s="49">
        <f t="shared" si="1"/>
        <v>0</v>
      </c>
      <c r="T22" s="49">
        <f t="shared" si="2"/>
        <v>0</v>
      </c>
      <c r="U22" s="49">
        <f t="shared" si="3"/>
        <v>0</v>
      </c>
      <c r="V22" s="49">
        <f t="shared" si="4"/>
        <v>0</v>
      </c>
      <c r="W22" s="49">
        <f t="shared" si="5"/>
        <v>0</v>
      </c>
      <c r="X22" s="143">
        <f>IFERROR(SUM(T22:W24)/COUNTIF(H22:H24,"&lt;&gt;Nicht anwendbar"),"n.a.")</f>
        <v>0</v>
      </c>
      <c r="Y22" s="48">
        <f>IF(Y19=1,X22,0)</f>
        <v>0</v>
      </c>
    </row>
    <row r="23" spans="2:33" ht="40" customHeight="1" thickBot="1" x14ac:dyDescent="0.3">
      <c r="B23" s="323"/>
      <c r="C23" s="330" t="s">
        <v>577</v>
      </c>
      <c r="D23" s="330"/>
      <c r="E23" s="330"/>
      <c r="F23" s="307"/>
      <c r="G23" s="307"/>
      <c r="H23" s="366" t="s">
        <v>42</v>
      </c>
      <c r="I23" s="366"/>
      <c r="J23" s="286"/>
      <c r="K23" s="286"/>
      <c r="L23" s="286"/>
      <c r="M23" s="286"/>
      <c r="N23" s="339"/>
      <c r="O23" s="339"/>
      <c r="P23" s="339"/>
      <c r="Q23" s="339"/>
      <c r="S23" s="49">
        <f t="shared" si="1"/>
        <v>0</v>
      </c>
      <c r="T23" s="49">
        <f t="shared" si="2"/>
        <v>0</v>
      </c>
      <c r="U23" s="49">
        <f t="shared" si="3"/>
        <v>0</v>
      </c>
      <c r="V23" s="49">
        <f t="shared" si="4"/>
        <v>0</v>
      </c>
      <c r="W23" s="49">
        <f t="shared" si="5"/>
        <v>0</v>
      </c>
      <c r="X23" s="49"/>
    </row>
    <row r="24" spans="2:33" ht="40" customHeight="1" thickBot="1" x14ac:dyDescent="0.3">
      <c r="B24" s="323"/>
      <c r="C24" s="350" t="s">
        <v>578</v>
      </c>
      <c r="D24" s="350"/>
      <c r="E24" s="350"/>
      <c r="F24" s="308"/>
      <c r="G24" s="308"/>
      <c r="H24" s="340" t="s">
        <v>42</v>
      </c>
      <c r="I24" s="340"/>
      <c r="J24" s="275"/>
      <c r="K24" s="275"/>
      <c r="L24" s="275"/>
      <c r="M24" s="275"/>
      <c r="N24" s="339"/>
      <c r="O24" s="339"/>
      <c r="P24" s="339"/>
      <c r="Q24" s="339"/>
      <c r="S24" s="149">
        <f t="shared" si="1"/>
        <v>0</v>
      </c>
      <c r="T24" s="149">
        <f t="shared" si="2"/>
        <v>0</v>
      </c>
      <c r="U24" s="149">
        <f t="shared" si="3"/>
        <v>0</v>
      </c>
      <c r="V24" s="149">
        <f t="shared" si="4"/>
        <v>0</v>
      </c>
      <c r="W24" s="149">
        <f t="shared" si="5"/>
        <v>0</v>
      </c>
      <c r="X24" s="149"/>
    </row>
    <row r="25" spans="2:33" ht="40" customHeight="1" thickBot="1" x14ac:dyDescent="0.3">
      <c r="B25" s="325">
        <v>5</v>
      </c>
      <c r="C25" s="343" t="s">
        <v>579</v>
      </c>
      <c r="D25" s="343"/>
      <c r="E25" s="343"/>
      <c r="F25" s="361" t="s">
        <v>588</v>
      </c>
      <c r="G25" s="362"/>
      <c r="H25" s="365" t="s">
        <v>42</v>
      </c>
      <c r="I25" s="365"/>
      <c r="J25" s="351" t="s">
        <v>977</v>
      </c>
      <c r="K25" s="352"/>
      <c r="L25" s="352"/>
      <c r="M25" s="352"/>
      <c r="N25" s="401"/>
      <c r="O25" s="401"/>
      <c r="P25" s="401"/>
      <c r="Q25" s="401"/>
      <c r="S25" s="157">
        <f t="shared" si="1"/>
        <v>0</v>
      </c>
      <c r="T25" s="157">
        <f t="shared" si="2"/>
        <v>0</v>
      </c>
      <c r="U25" s="157">
        <f t="shared" si="3"/>
        <v>0</v>
      </c>
      <c r="V25" s="157">
        <f t="shared" si="4"/>
        <v>0</v>
      </c>
      <c r="W25" s="157">
        <f t="shared" si="5"/>
        <v>0</v>
      </c>
      <c r="X25" s="143">
        <f>IFERROR(SUM(T25:W26)/COUNTIF(H25:H26,"&lt;&gt;Nicht anwendbar"),"n.a.")</f>
        <v>0</v>
      </c>
      <c r="Y25" s="48">
        <f>IF(Y22=1,X25,0)</f>
        <v>0</v>
      </c>
    </row>
    <row r="26" spans="2:33" ht="40" customHeight="1" thickBot="1" x14ac:dyDescent="0.3">
      <c r="B26" s="326"/>
      <c r="C26" s="310" t="s">
        <v>580</v>
      </c>
      <c r="D26" s="310"/>
      <c r="E26" s="310"/>
      <c r="F26" s="308"/>
      <c r="G26" s="308"/>
      <c r="H26" s="340" t="s">
        <v>42</v>
      </c>
      <c r="I26" s="340"/>
      <c r="J26" s="275"/>
      <c r="K26" s="275"/>
      <c r="L26" s="275"/>
      <c r="M26" s="275"/>
      <c r="N26" s="414"/>
      <c r="O26" s="414"/>
      <c r="P26" s="414"/>
      <c r="Q26" s="414"/>
      <c r="S26" s="149">
        <f t="shared" si="1"/>
        <v>0</v>
      </c>
      <c r="T26" s="149">
        <f t="shared" si="2"/>
        <v>0</v>
      </c>
      <c r="U26" s="149">
        <f t="shared" si="3"/>
        <v>0</v>
      </c>
      <c r="V26" s="149">
        <f t="shared" si="4"/>
        <v>0</v>
      </c>
      <c r="W26" s="149">
        <f t="shared" si="5"/>
        <v>0</v>
      </c>
      <c r="X26" s="149"/>
    </row>
  </sheetData>
  <sheetProtection formatCells="0"/>
  <protectedRanges>
    <protectedRange sqref="N31:Q32" name="Bereich1"/>
    <protectedRange sqref="N19:Q19 N22:Q22 N25:Q25" name="Bereich1_1"/>
  </protectedRanges>
  <mergeCells count="59">
    <mergeCell ref="J22:M24"/>
    <mergeCell ref="J25:M26"/>
    <mergeCell ref="B25:B26"/>
    <mergeCell ref="C25:E25"/>
    <mergeCell ref="F25:G26"/>
    <mergeCell ref="H25:I25"/>
    <mergeCell ref="C26:E26"/>
    <mergeCell ref="H26:I26"/>
    <mergeCell ref="B17:B18"/>
    <mergeCell ref="H21:I21"/>
    <mergeCell ref="H22:I22"/>
    <mergeCell ref="H23:I23"/>
    <mergeCell ref="C21:E21"/>
    <mergeCell ref="B22:B24"/>
    <mergeCell ref="C22:E22"/>
    <mergeCell ref="F22:G24"/>
    <mergeCell ref="C23:E23"/>
    <mergeCell ref="H24:I24"/>
    <mergeCell ref="C24:E24"/>
    <mergeCell ref="B19:B21"/>
    <mergeCell ref="C19:E19"/>
    <mergeCell ref="F19:G21"/>
    <mergeCell ref="C20:E20"/>
    <mergeCell ref="H20:I20"/>
    <mergeCell ref="H19:I19"/>
    <mergeCell ref="J19:M21"/>
    <mergeCell ref="C16:E16"/>
    <mergeCell ref="F16:G16"/>
    <mergeCell ref="H16:I16"/>
    <mergeCell ref="J16:M16"/>
    <mergeCell ref="C17:E17"/>
    <mergeCell ref="F17:G18"/>
    <mergeCell ref="H17:I17"/>
    <mergeCell ref="H18:I18"/>
    <mergeCell ref="C18:E18"/>
    <mergeCell ref="J17:M18"/>
    <mergeCell ref="B15:M15"/>
    <mergeCell ref="B4:M4"/>
    <mergeCell ref="C6:G6"/>
    <mergeCell ref="C7:M7"/>
    <mergeCell ref="C8:M8"/>
    <mergeCell ref="C9:M9"/>
    <mergeCell ref="C10:M10"/>
    <mergeCell ref="C14:E14"/>
    <mergeCell ref="F14:G14"/>
    <mergeCell ref="H14:I14"/>
    <mergeCell ref="J14:M14"/>
    <mergeCell ref="N14:Q14"/>
    <mergeCell ref="N16:Q16"/>
    <mergeCell ref="N17:Q17"/>
    <mergeCell ref="N18:Q18"/>
    <mergeCell ref="N19:Q19"/>
    <mergeCell ref="N25:Q25"/>
    <mergeCell ref="N26:Q26"/>
    <mergeCell ref="N20:Q20"/>
    <mergeCell ref="N21:Q21"/>
    <mergeCell ref="N22:Q22"/>
    <mergeCell ref="N23:Q23"/>
    <mergeCell ref="N24:Q24"/>
  </mergeCells>
  <conditionalFormatting sqref="H16:I26">
    <cfRule type="containsText" dxfId="29" priority="1" operator="containsText" text="Bitte auswählen">
      <formula>NOT(ISERROR(SEARCH("Bitte auswählen",H16)))</formula>
    </cfRule>
  </conditionalFormatting>
  <dataValidations xWindow="795" yWindow="411" count="2">
    <dataValidation allowBlank="1" showInputMessage="1" showErrorMessage="1" promptTitle="[+] Klicken" prompt="Hier können Sie sich erweiterte Informationen zu dem Prozess anzeigen lassen." sqref="A11" xr:uid="{822B63EE-6F45-49FE-AB53-F124B0E8EDF5}"/>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7AC3E799-D1FB-45F2-91FA-D3D2508B7A40}"/>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795" yWindow="411" count="1">
        <x14:dataValidation type="list" allowBlank="1" showInputMessage="1" showErrorMessage="1" xr:uid="{AB3659C0-E1A6-4F0B-9004-AACDA8AC4E9D}">
          <x14:formula1>
            <xm:f>Data!$I$3:$I$8</xm:f>
          </x14:formula1>
          <xm:sqref>H16:I26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F6438-A5C0-48FE-84D0-0735363A332E}">
  <sheetPr>
    <tabColor rgb="FF333399"/>
    <pageSetUpPr fitToPage="1"/>
  </sheetPr>
  <dimension ref="B4:AG29"/>
  <sheetViews>
    <sheetView showGridLines="0" zoomScale="90" zoomScaleNormal="90" zoomScalePageLayoutView="85" workbookViewId="0"/>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68.54296875" style="48" hidden="1" customWidth="1" outlineLevel="1"/>
    <col min="7" max="7" width="26.453125" style="48" hidden="1" customWidth="1" outlineLevel="1"/>
    <col min="8" max="8" width="11.453125" style="48" collapsed="1"/>
    <col min="9" max="10" width="11.453125" style="48"/>
    <col min="11" max="11" width="13.26953125" style="48" customWidth="1"/>
    <col min="12" max="12" width="11.453125" style="48"/>
    <col min="13" max="13" width="19.453125" style="48" customWidth="1"/>
    <col min="14" max="14" width="11.453125" style="48"/>
    <col min="15" max="15" width="13.26953125" style="48" customWidth="1"/>
    <col min="16" max="16" width="11.453125" style="48"/>
    <col min="17" max="17" width="24.81640625" style="48" customWidth="1"/>
    <col min="18" max="18" width="11.453125" style="49"/>
    <col min="19" max="24" width="11.453125" style="48" customWidth="1"/>
    <col min="25" max="25" width="14" style="48" customWidth="1"/>
    <col min="26" max="32" width="11.453125" style="48" customWidth="1"/>
    <col min="33" max="33" width="11.453125" style="48" hidden="1" customWidth="1"/>
    <col min="34" max="16384" width="11.453125" style="48"/>
  </cols>
  <sheetData>
    <row r="4" spans="2:33" ht="14" x14ac:dyDescent="0.3">
      <c r="B4" s="290" t="s">
        <v>39</v>
      </c>
      <c r="C4" s="290"/>
      <c r="D4" s="290"/>
      <c r="E4" s="290"/>
      <c r="F4" s="290"/>
      <c r="G4" s="290"/>
      <c r="H4" s="290"/>
      <c r="I4" s="290"/>
      <c r="J4" s="290"/>
      <c r="K4" s="290"/>
      <c r="L4" s="290"/>
      <c r="M4" s="290"/>
      <c r="N4" s="216"/>
      <c r="O4" s="216"/>
      <c r="P4" s="216"/>
      <c r="Q4" s="216"/>
    </row>
    <row r="5" spans="2:33" ht="9" customHeight="1" x14ac:dyDescent="0.25"/>
    <row r="6" spans="2:33" ht="32.25" customHeight="1" thickBot="1" x14ac:dyDescent="0.3">
      <c r="B6" s="162" t="s">
        <v>122</v>
      </c>
      <c r="C6" s="293" t="s">
        <v>173</v>
      </c>
      <c r="D6" s="293"/>
      <c r="E6" s="293"/>
      <c r="F6" s="293"/>
      <c r="G6" s="293"/>
      <c r="H6" s="53"/>
      <c r="I6" s="53"/>
      <c r="J6" s="53"/>
      <c r="K6" s="53" t="s">
        <v>36</v>
      </c>
      <c r="L6" s="55">
        <f>ROUNDDOWN(Z16/0.25,0)*0.25</f>
        <v>0</v>
      </c>
      <c r="M6" s="54" t="str">
        <f>IF(L6&lt;1,"Unvollständig",IF(L6&lt;2,"Initial",IF(L6&lt;3,"Gemanagt",IF(L6&lt;4,"Definiert",IF(L6&lt;5,"Quantitativ gemanagt",IF(L6&lt;6,"Optimiert","Ausstehend"))))))</f>
        <v>Unvollständig</v>
      </c>
      <c r="N6" s="53"/>
      <c r="O6" s="53"/>
      <c r="P6" s="55"/>
      <c r="Q6" s="54"/>
    </row>
    <row r="7" spans="2:33" ht="35.25" hidden="1" customHeight="1" outlineLevel="1" x14ac:dyDescent="0.25">
      <c r="B7" s="76" t="s">
        <v>211</v>
      </c>
      <c r="C7" s="294" t="s">
        <v>589</v>
      </c>
      <c r="D7" s="295"/>
      <c r="E7" s="295"/>
      <c r="F7" s="295"/>
      <c r="G7" s="295"/>
      <c r="H7" s="295"/>
      <c r="I7" s="295"/>
      <c r="J7" s="295"/>
      <c r="K7" s="295"/>
      <c r="L7" s="295"/>
      <c r="M7" s="296"/>
      <c r="N7" s="218"/>
      <c r="O7" s="218"/>
      <c r="P7" s="218"/>
      <c r="Q7" s="218"/>
    </row>
    <row r="8" spans="2:33" ht="70.5" hidden="1" customHeight="1" outlineLevel="1" x14ac:dyDescent="0.25">
      <c r="B8" s="51" t="s">
        <v>212</v>
      </c>
      <c r="C8" s="297" t="s">
        <v>601</v>
      </c>
      <c r="D8" s="298"/>
      <c r="E8" s="298"/>
      <c r="F8" s="298"/>
      <c r="G8" s="298"/>
      <c r="H8" s="298"/>
      <c r="I8" s="298"/>
      <c r="J8" s="298"/>
      <c r="K8" s="298"/>
      <c r="L8" s="298"/>
      <c r="M8" s="299"/>
      <c r="N8" s="217"/>
      <c r="O8" s="217"/>
      <c r="P8" s="217"/>
      <c r="Q8" s="217"/>
    </row>
    <row r="9" spans="2:33" ht="75" hidden="1" customHeight="1" outlineLevel="1" x14ac:dyDescent="0.25">
      <c r="B9" s="51" t="s">
        <v>30</v>
      </c>
      <c r="C9" s="300" t="s">
        <v>602</v>
      </c>
      <c r="D9" s="301"/>
      <c r="E9" s="301"/>
      <c r="F9" s="301"/>
      <c r="G9" s="301"/>
      <c r="H9" s="301"/>
      <c r="I9" s="301"/>
      <c r="J9" s="301"/>
      <c r="K9" s="301"/>
      <c r="L9" s="301"/>
      <c r="M9" s="302"/>
      <c r="N9" s="218"/>
      <c r="O9" s="218"/>
      <c r="P9" s="218"/>
      <c r="Q9" s="218"/>
    </row>
    <row r="10" spans="2:33" ht="65.25" hidden="1" customHeight="1" outlineLevel="1" x14ac:dyDescent="0.25">
      <c r="B10" s="51" t="s">
        <v>31</v>
      </c>
      <c r="C10" s="300" t="s">
        <v>603</v>
      </c>
      <c r="D10" s="301"/>
      <c r="E10" s="301"/>
      <c r="F10" s="301"/>
      <c r="G10" s="301"/>
      <c r="H10" s="301"/>
      <c r="I10" s="301"/>
      <c r="J10" s="301"/>
      <c r="K10" s="301"/>
      <c r="L10" s="301"/>
      <c r="M10" s="302"/>
      <c r="N10" s="218"/>
      <c r="O10" s="218"/>
      <c r="P10" s="218"/>
      <c r="Q10" s="218"/>
    </row>
    <row r="11" spans="2:33" collapsed="1" x14ac:dyDescent="0.25"/>
    <row r="12" spans="2:33" ht="13" x14ac:dyDescent="0.3">
      <c r="B12" s="50" t="s">
        <v>33</v>
      </c>
      <c r="C12" s="49"/>
    </row>
    <row r="13" spans="2:33" ht="6.75" customHeight="1" x14ac:dyDescent="0.25"/>
    <row r="14" spans="2:33" ht="21.75" customHeight="1" x14ac:dyDescent="0.25">
      <c r="B14" s="52" t="s">
        <v>34</v>
      </c>
      <c r="C14" s="353" t="s">
        <v>37</v>
      </c>
      <c r="D14" s="354"/>
      <c r="E14" s="355"/>
      <c r="F14" s="341" t="s">
        <v>67</v>
      </c>
      <c r="G14" s="356"/>
      <c r="H14" s="341" t="s">
        <v>3</v>
      </c>
      <c r="I14" s="356"/>
      <c r="J14" s="341" t="s">
        <v>886</v>
      </c>
      <c r="K14" s="342"/>
      <c r="L14" s="342"/>
      <c r="M14" s="342"/>
      <c r="N14" s="341" t="s">
        <v>38</v>
      </c>
      <c r="O14" s="342"/>
      <c r="P14" s="342"/>
      <c r="Q14" s="342"/>
      <c r="S14" s="149"/>
      <c r="T14" s="149" t="s">
        <v>35</v>
      </c>
      <c r="U14" s="149"/>
      <c r="V14" s="149"/>
      <c r="W14" s="149"/>
      <c r="X14" s="149"/>
      <c r="Y14" s="149" t="s">
        <v>45</v>
      </c>
      <c r="Z14" s="149" t="s">
        <v>44</v>
      </c>
    </row>
    <row r="15" spans="2:33" ht="1.5" customHeight="1" thickBot="1" x14ac:dyDescent="0.35">
      <c r="B15" s="314"/>
      <c r="C15" s="314"/>
      <c r="D15" s="314"/>
      <c r="E15" s="314"/>
      <c r="F15" s="314"/>
      <c r="G15" s="314"/>
      <c r="H15" s="314"/>
      <c r="I15" s="314"/>
      <c r="J15" s="314"/>
      <c r="K15" s="314"/>
      <c r="L15" s="314"/>
      <c r="M15" s="314"/>
      <c r="N15" s="219"/>
      <c r="O15" s="219"/>
      <c r="P15" s="219"/>
      <c r="Q15" s="219"/>
    </row>
    <row r="16" spans="2:33" ht="40" customHeight="1" thickBot="1" x14ac:dyDescent="0.35">
      <c r="B16" s="323">
        <v>1</v>
      </c>
      <c r="C16" s="343" t="s">
        <v>1150</v>
      </c>
      <c r="D16" s="343"/>
      <c r="E16" s="343"/>
      <c r="F16" s="361" t="s">
        <v>604</v>
      </c>
      <c r="G16" s="362"/>
      <c r="H16" s="365" t="s">
        <v>42</v>
      </c>
      <c r="I16" s="365"/>
      <c r="J16" s="365" t="s">
        <v>29</v>
      </c>
      <c r="K16" s="365"/>
      <c r="L16" s="365"/>
      <c r="M16" s="365"/>
      <c r="N16" s="359"/>
      <c r="O16" s="359"/>
      <c r="P16" s="359"/>
      <c r="Q16" s="359"/>
      <c r="S16" s="155">
        <f>IF(H16="Nicht anwendbar","n.a.",0)</f>
        <v>0</v>
      </c>
      <c r="T16" s="49">
        <f>IF(H16="Vollständig",1,0)</f>
        <v>0</v>
      </c>
      <c r="U16" s="49">
        <f>IF(H16="In den meisten Fällen",0.75,0)</f>
        <v>0</v>
      </c>
      <c r="V16" s="49">
        <f>IF(H16="In ein Paar Fällen",0.5,0)</f>
        <v>0</v>
      </c>
      <c r="W16" s="49">
        <f>IF(H16="Gar nicht",0,0)</f>
        <v>0</v>
      </c>
      <c r="X16" s="49">
        <f>IFERROR(SUM(T16:W17)/COUNTIF(H16:H17,"&lt;&gt;Nicht anwendbar"),"n.a.")</f>
        <v>0</v>
      </c>
      <c r="Y16" s="48">
        <f>X16</f>
        <v>0</v>
      </c>
      <c r="Z16" s="48">
        <f>IF(Y16&lt;&gt;"n.a.",SUM(Y16,Y18,Y21,Y24,Y28),NA())</f>
        <v>0</v>
      </c>
      <c r="AG16" s="49" t="str">
        <f t="shared" ref="AG16:AG20" si="0">IF(X16&gt;0.5,"Umgesetzt","Nicht umgesetzt")</f>
        <v>Nicht umgesetzt</v>
      </c>
    </row>
    <row r="17" spans="2:33" ht="40" customHeight="1" thickBot="1" x14ac:dyDescent="0.3">
      <c r="B17" s="326"/>
      <c r="C17" s="308" t="s">
        <v>1151</v>
      </c>
      <c r="D17" s="308"/>
      <c r="E17" s="308"/>
      <c r="F17" s="307"/>
      <c r="G17" s="307"/>
      <c r="H17" s="340" t="s">
        <v>42</v>
      </c>
      <c r="I17" s="340"/>
      <c r="J17" s="340"/>
      <c r="K17" s="340"/>
      <c r="L17" s="340"/>
      <c r="M17" s="340"/>
      <c r="N17" s="378"/>
      <c r="O17" s="378"/>
      <c r="P17" s="378"/>
      <c r="Q17" s="378"/>
      <c r="S17" s="75">
        <f t="shared" ref="S17:S29" si="1">IF(H17="Nicht anwendbar","n.a.",0)</f>
        <v>0</v>
      </c>
      <c r="T17" s="75">
        <f t="shared" ref="T17:T29" si="2">IF(H17="Vollständig",1,0)</f>
        <v>0</v>
      </c>
      <c r="U17" s="75">
        <f t="shared" ref="U17" si="3">IF(H17="In den meisten Fällen",0.75,0)</f>
        <v>0</v>
      </c>
      <c r="V17" s="75">
        <f t="shared" ref="V17" si="4">IF(H17="In ein Paar Fällen",0.5,0)</f>
        <v>0</v>
      </c>
      <c r="W17" s="75">
        <f t="shared" ref="W17" si="5">IF(H17="Gar nicht",0,0)</f>
        <v>0</v>
      </c>
      <c r="X17" s="75"/>
      <c r="AG17" s="49" t="str">
        <f t="shared" ref="AG17" si="6">IF(X17&gt;0.5,"Umgesetzt","Nicht umgesetzt")</f>
        <v>Nicht umgesetzt</v>
      </c>
    </row>
    <row r="18" spans="2:33" ht="40" customHeight="1" thickBot="1" x14ac:dyDescent="0.3">
      <c r="B18" s="325">
        <v>2</v>
      </c>
      <c r="C18" s="343" t="s">
        <v>590</v>
      </c>
      <c r="D18" s="343"/>
      <c r="E18" s="343"/>
      <c r="F18" s="361" t="s">
        <v>605</v>
      </c>
      <c r="G18" s="362"/>
      <c r="H18" s="365" t="s">
        <v>42</v>
      </c>
      <c r="I18" s="365"/>
      <c r="J18" s="351" t="s">
        <v>978</v>
      </c>
      <c r="K18" s="352"/>
      <c r="L18" s="352"/>
      <c r="M18" s="352"/>
      <c r="N18" s="401"/>
      <c r="O18" s="401"/>
      <c r="P18" s="401"/>
      <c r="Q18" s="401"/>
      <c r="S18" s="49">
        <f t="shared" si="1"/>
        <v>0</v>
      </c>
      <c r="T18" s="49">
        <f t="shared" si="2"/>
        <v>0</v>
      </c>
      <c r="U18" s="49">
        <f>IF(H18="In den meisten Fällen",0.75,0)</f>
        <v>0</v>
      </c>
      <c r="V18" s="49">
        <f>IF(H18="In ein Paar Fällen",0.5,0)</f>
        <v>0</v>
      </c>
      <c r="W18" s="49">
        <f>IF(H18="Gar nicht",0,0)</f>
        <v>0</v>
      </c>
      <c r="X18" s="143">
        <f>IFERROR(SUM(T18:W20)/COUNTIF(H18:H20,"&lt;&gt;Nicht anwendbar"),"n.a.")</f>
        <v>0</v>
      </c>
      <c r="Y18" s="48">
        <f>IF(X16=1,X18,0)</f>
        <v>0</v>
      </c>
      <c r="AG18" s="49" t="str">
        <f t="shared" si="0"/>
        <v>Nicht umgesetzt</v>
      </c>
    </row>
    <row r="19" spans="2:33" ht="40" customHeight="1" thickBot="1" x14ac:dyDescent="0.3">
      <c r="B19" s="323"/>
      <c r="C19" s="330" t="s">
        <v>592</v>
      </c>
      <c r="D19" s="330"/>
      <c r="E19" s="330"/>
      <c r="F19" s="307"/>
      <c r="G19" s="307"/>
      <c r="H19" s="366" t="s">
        <v>42</v>
      </c>
      <c r="I19" s="366"/>
      <c r="J19" s="286"/>
      <c r="K19" s="286"/>
      <c r="L19" s="286"/>
      <c r="M19" s="286"/>
      <c r="N19" s="339"/>
      <c r="O19" s="339"/>
      <c r="P19" s="339"/>
      <c r="Q19" s="339"/>
      <c r="S19" s="49">
        <f t="shared" si="1"/>
        <v>0</v>
      </c>
      <c r="T19" s="49">
        <f t="shared" si="2"/>
        <v>0</v>
      </c>
      <c r="U19" s="49">
        <f t="shared" ref="U19:U29" si="7">IF(H19="In den meisten Fällen",0.75,0)</f>
        <v>0</v>
      </c>
      <c r="V19" s="49">
        <f t="shared" ref="V19:V29" si="8">IF(H19="In ein Paar Fällen",0.5,0)</f>
        <v>0</v>
      </c>
      <c r="W19" s="49">
        <f t="shared" ref="W19:W29" si="9">IF(H19="Gar nicht",0,0)</f>
        <v>0</v>
      </c>
      <c r="X19" s="49"/>
      <c r="AG19" s="49" t="str">
        <f t="shared" si="0"/>
        <v>Nicht umgesetzt</v>
      </c>
    </row>
    <row r="20" spans="2:33" ht="40" customHeight="1" thickBot="1" x14ac:dyDescent="0.3">
      <c r="B20" s="326"/>
      <c r="C20" s="308" t="s">
        <v>591</v>
      </c>
      <c r="D20" s="308"/>
      <c r="E20" s="308"/>
      <c r="F20" s="308"/>
      <c r="G20" s="308"/>
      <c r="H20" s="340" t="s">
        <v>42</v>
      </c>
      <c r="I20" s="340"/>
      <c r="J20" s="275"/>
      <c r="K20" s="275"/>
      <c r="L20" s="275"/>
      <c r="M20" s="275"/>
      <c r="N20" s="339"/>
      <c r="O20" s="339"/>
      <c r="P20" s="339"/>
      <c r="Q20" s="339"/>
      <c r="S20" s="75">
        <f t="shared" si="1"/>
        <v>0</v>
      </c>
      <c r="T20" s="75">
        <f t="shared" si="2"/>
        <v>0</v>
      </c>
      <c r="U20" s="75">
        <f t="shared" si="7"/>
        <v>0</v>
      </c>
      <c r="V20" s="75">
        <f t="shared" si="8"/>
        <v>0</v>
      </c>
      <c r="W20" s="75">
        <f t="shared" si="9"/>
        <v>0</v>
      </c>
      <c r="X20" s="75"/>
      <c r="AG20" s="49" t="str">
        <f t="shared" si="0"/>
        <v>Nicht umgesetzt</v>
      </c>
    </row>
    <row r="21" spans="2:33" ht="40" customHeight="1" thickBot="1" x14ac:dyDescent="0.3">
      <c r="B21" s="325">
        <v>3</v>
      </c>
      <c r="C21" s="344" t="s">
        <v>593</v>
      </c>
      <c r="D21" s="345"/>
      <c r="E21" s="345"/>
      <c r="F21" s="370" t="s">
        <v>606</v>
      </c>
      <c r="G21" s="371"/>
      <c r="H21" s="365" t="s">
        <v>42</v>
      </c>
      <c r="I21" s="365"/>
      <c r="J21" s="357" t="s">
        <v>979</v>
      </c>
      <c r="K21" s="358"/>
      <c r="L21" s="358"/>
      <c r="M21" s="358"/>
      <c r="N21" s="401"/>
      <c r="O21" s="401"/>
      <c r="P21" s="401"/>
      <c r="Q21" s="401"/>
      <c r="S21" s="48">
        <f t="shared" si="1"/>
        <v>0</v>
      </c>
      <c r="T21" s="49">
        <f t="shared" si="2"/>
        <v>0</v>
      </c>
      <c r="U21" s="49">
        <f t="shared" si="7"/>
        <v>0</v>
      </c>
      <c r="V21" s="49">
        <f t="shared" si="8"/>
        <v>0</v>
      </c>
      <c r="W21" s="49">
        <f t="shared" si="9"/>
        <v>0</v>
      </c>
      <c r="X21" s="143">
        <f>IFERROR(SUM(T21:W23)/COUNTIF(H21:H23,"&lt;&gt;Nicht anwendbar"),"n.a.")</f>
        <v>0</v>
      </c>
      <c r="Y21" s="48">
        <f>IF(Y18=1,X21,0)</f>
        <v>0</v>
      </c>
    </row>
    <row r="22" spans="2:33" ht="40" customHeight="1" thickBot="1" x14ac:dyDescent="0.3">
      <c r="B22" s="323"/>
      <c r="C22" s="347" t="s">
        <v>594</v>
      </c>
      <c r="D22" s="348"/>
      <c r="E22" s="348"/>
      <c r="F22" s="337"/>
      <c r="G22" s="337"/>
      <c r="H22" s="366" t="s">
        <v>42</v>
      </c>
      <c r="I22" s="366"/>
      <c r="J22" s="282"/>
      <c r="K22" s="282"/>
      <c r="L22" s="282"/>
      <c r="M22" s="282"/>
      <c r="N22" s="339"/>
      <c r="O22" s="339"/>
      <c r="P22" s="339"/>
      <c r="Q22" s="339"/>
      <c r="S22" s="48">
        <f t="shared" si="1"/>
        <v>0</v>
      </c>
      <c r="T22" s="49">
        <f t="shared" si="2"/>
        <v>0</v>
      </c>
      <c r="U22" s="49">
        <f t="shared" si="7"/>
        <v>0</v>
      </c>
      <c r="V22" s="49">
        <f t="shared" si="8"/>
        <v>0</v>
      </c>
      <c r="W22" s="49">
        <f t="shared" si="9"/>
        <v>0</v>
      </c>
    </row>
    <row r="23" spans="2:33" ht="40" customHeight="1" thickBot="1" x14ac:dyDescent="0.3">
      <c r="B23" s="326"/>
      <c r="C23" s="368" t="s">
        <v>595</v>
      </c>
      <c r="D23" s="368"/>
      <c r="E23" s="368"/>
      <c r="F23" s="386"/>
      <c r="G23" s="386"/>
      <c r="H23" s="340" t="s">
        <v>42</v>
      </c>
      <c r="I23" s="340"/>
      <c r="J23" s="270"/>
      <c r="K23" s="270"/>
      <c r="L23" s="270"/>
      <c r="M23" s="270"/>
      <c r="N23" s="339"/>
      <c r="O23" s="339"/>
      <c r="P23" s="339"/>
      <c r="Q23" s="339"/>
      <c r="S23" s="75">
        <f t="shared" si="1"/>
        <v>0</v>
      </c>
      <c r="T23" s="75">
        <f t="shared" si="2"/>
        <v>0</v>
      </c>
      <c r="U23" s="75">
        <f t="shared" si="7"/>
        <v>0</v>
      </c>
      <c r="V23" s="75">
        <f t="shared" si="8"/>
        <v>0</v>
      </c>
      <c r="W23" s="75">
        <f t="shared" si="9"/>
        <v>0</v>
      </c>
      <c r="X23" s="75"/>
    </row>
    <row r="24" spans="2:33" ht="40" customHeight="1" thickBot="1" x14ac:dyDescent="0.3">
      <c r="B24" s="325">
        <v>4</v>
      </c>
      <c r="C24" s="343" t="s">
        <v>596</v>
      </c>
      <c r="D24" s="343"/>
      <c r="E24" s="343"/>
      <c r="F24" s="361" t="s">
        <v>607</v>
      </c>
      <c r="G24" s="362"/>
      <c r="H24" s="365" t="s">
        <v>42</v>
      </c>
      <c r="I24" s="365"/>
      <c r="J24" s="351" t="s">
        <v>980</v>
      </c>
      <c r="K24" s="352"/>
      <c r="L24" s="352"/>
      <c r="M24" s="352"/>
      <c r="N24" s="401"/>
      <c r="O24" s="401"/>
      <c r="P24" s="401"/>
      <c r="Q24" s="401"/>
      <c r="S24" s="49">
        <f t="shared" si="1"/>
        <v>0</v>
      </c>
      <c r="T24" s="49">
        <f t="shared" si="2"/>
        <v>0</v>
      </c>
      <c r="U24" s="49">
        <f t="shared" si="7"/>
        <v>0</v>
      </c>
      <c r="V24" s="49">
        <f t="shared" si="8"/>
        <v>0</v>
      </c>
      <c r="W24" s="49">
        <f t="shared" si="9"/>
        <v>0</v>
      </c>
      <c r="X24" s="143">
        <f>IFERROR(SUM(T24:W27)/COUNTIF(H24:H27,"&lt;&gt;Nicht anwendbar"),"n.a.")</f>
        <v>0</v>
      </c>
      <c r="Y24" s="48">
        <f>IF(Y21=1,X24,0)</f>
        <v>0</v>
      </c>
    </row>
    <row r="25" spans="2:33" ht="40" customHeight="1" thickBot="1" x14ac:dyDescent="0.3">
      <c r="B25" s="323"/>
      <c r="C25" s="330" t="s">
        <v>609</v>
      </c>
      <c r="D25" s="330"/>
      <c r="E25" s="330"/>
      <c r="F25" s="307"/>
      <c r="G25" s="307"/>
      <c r="H25" s="366" t="s">
        <v>42</v>
      </c>
      <c r="I25" s="366"/>
      <c r="J25" s="286"/>
      <c r="K25" s="286"/>
      <c r="L25" s="286"/>
      <c r="M25" s="286"/>
      <c r="N25" s="339"/>
      <c r="O25" s="339"/>
      <c r="P25" s="339"/>
      <c r="Q25" s="339"/>
      <c r="S25" s="49">
        <f t="shared" si="1"/>
        <v>0</v>
      </c>
      <c r="T25" s="49">
        <f t="shared" si="2"/>
        <v>0</v>
      </c>
      <c r="U25" s="49">
        <f t="shared" si="7"/>
        <v>0</v>
      </c>
      <c r="V25" s="49">
        <f t="shared" si="8"/>
        <v>0</v>
      </c>
      <c r="W25" s="49">
        <f t="shared" si="9"/>
        <v>0</v>
      </c>
      <c r="X25" s="49"/>
    </row>
    <row r="26" spans="2:33" ht="40" customHeight="1" thickBot="1" x14ac:dyDescent="0.3">
      <c r="B26" s="323"/>
      <c r="C26" s="330" t="s">
        <v>597</v>
      </c>
      <c r="D26" s="330"/>
      <c r="E26" s="330"/>
      <c r="F26" s="307"/>
      <c r="G26" s="307"/>
      <c r="H26" s="366" t="s">
        <v>42</v>
      </c>
      <c r="I26" s="366"/>
      <c r="J26" s="286"/>
      <c r="K26" s="286"/>
      <c r="L26" s="286"/>
      <c r="M26" s="286"/>
      <c r="N26" s="339"/>
      <c r="O26" s="339"/>
      <c r="P26" s="339"/>
      <c r="Q26" s="339"/>
      <c r="S26" s="49">
        <f t="shared" si="1"/>
        <v>0</v>
      </c>
      <c r="T26" s="49">
        <f t="shared" si="2"/>
        <v>0</v>
      </c>
      <c r="U26" s="49">
        <f t="shared" si="7"/>
        <v>0</v>
      </c>
      <c r="V26" s="49">
        <f t="shared" si="8"/>
        <v>0</v>
      </c>
      <c r="W26" s="49">
        <f t="shared" si="9"/>
        <v>0</v>
      </c>
      <c r="X26" s="49"/>
    </row>
    <row r="27" spans="2:33" ht="40" customHeight="1" thickBot="1" x14ac:dyDescent="0.3">
      <c r="B27" s="323"/>
      <c r="C27" s="350" t="s">
        <v>598</v>
      </c>
      <c r="D27" s="350"/>
      <c r="E27" s="350"/>
      <c r="F27" s="308"/>
      <c r="G27" s="308"/>
      <c r="H27" s="340" t="s">
        <v>42</v>
      </c>
      <c r="I27" s="340"/>
      <c r="J27" s="275"/>
      <c r="K27" s="275"/>
      <c r="L27" s="275"/>
      <c r="M27" s="275"/>
      <c r="N27" s="339"/>
      <c r="O27" s="339"/>
      <c r="P27" s="339"/>
      <c r="Q27" s="339"/>
      <c r="S27" s="149">
        <f t="shared" si="1"/>
        <v>0</v>
      </c>
      <c r="T27" s="149">
        <f t="shared" si="2"/>
        <v>0</v>
      </c>
      <c r="U27" s="149">
        <f t="shared" si="7"/>
        <v>0</v>
      </c>
      <c r="V27" s="149">
        <f t="shared" si="8"/>
        <v>0</v>
      </c>
      <c r="W27" s="149">
        <f t="shared" si="9"/>
        <v>0</v>
      </c>
      <c r="X27" s="149"/>
    </row>
    <row r="28" spans="2:33" ht="40" customHeight="1" thickBot="1" x14ac:dyDescent="0.3">
      <c r="B28" s="325">
        <v>5</v>
      </c>
      <c r="C28" s="343" t="s">
        <v>599</v>
      </c>
      <c r="D28" s="343"/>
      <c r="E28" s="343"/>
      <c r="F28" s="361" t="s">
        <v>608</v>
      </c>
      <c r="G28" s="362"/>
      <c r="H28" s="365" t="s">
        <v>42</v>
      </c>
      <c r="I28" s="365"/>
      <c r="J28" s="351" t="s">
        <v>981</v>
      </c>
      <c r="K28" s="352"/>
      <c r="L28" s="352"/>
      <c r="M28" s="352"/>
      <c r="N28" s="401"/>
      <c r="O28" s="401"/>
      <c r="P28" s="401"/>
      <c r="Q28" s="401"/>
      <c r="S28" s="157">
        <f t="shared" si="1"/>
        <v>0</v>
      </c>
      <c r="T28" s="157">
        <f t="shared" si="2"/>
        <v>0</v>
      </c>
      <c r="U28" s="157">
        <f t="shared" si="7"/>
        <v>0</v>
      </c>
      <c r="V28" s="157">
        <f t="shared" si="8"/>
        <v>0</v>
      </c>
      <c r="W28" s="157">
        <f t="shared" si="9"/>
        <v>0</v>
      </c>
      <c r="X28" s="143">
        <f>IFERROR(SUM(T28:W29)/COUNTIF(H28:H29,"&lt;&gt;Nicht anwendbar"),"n.a.")</f>
        <v>0</v>
      </c>
      <c r="Y28" s="48">
        <f>IF(Y24=1,X28,0)</f>
        <v>0</v>
      </c>
    </row>
    <row r="29" spans="2:33" ht="40" customHeight="1" thickBot="1" x14ac:dyDescent="0.3">
      <c r="B29" s="326"/>
      <c r="C29" s="310" t="s">
        <v>600</v>
      </c>
      <c r="D29" s="310"/>
      <c r="E29" s="310"/>
      <c r="F29" s="308"/>
      <c r="G29" s="308"/>
      <c r="H29" s="340" t="s">
        <v>42</v>
      </c>
      <c r="I29" s="340"/>
      <c r="J29" s="275"/>
      <c r="K29" s="275"/>
      <c r="L29" s="275"/>
      <c r="M29" s="275"/>
      <c r="N29" s="414"/>
      <c r="O29" s="414"/>
      <c r="P29" s="414"/>
      <c r="Q29" s="414"/>
      <c r="S29" s="149">
        <f t="shared" si="1"/>
        <v>0</v>
      </c>
      <c r="T29" s="149">
        <f t="shared" si="2"/>
        <v>0</v>
      </c>
      <c r="U29" s="149">
        <f t="shared" si="7"/>
        <v>0</v>
      </c>
      <c r="V29" s="149">
        <f t="shared" si="8"/>
        <v>0</v>
      </c>
      <c r="W29" s="149">
        <f t="shared" si="9"/>
        <v>0</v>
      </c>
      <c r="X29" s="149"/>
    </row>
  </sheetData>
  <sheetProtection formatCells="0"/>
  <protectedRanges>
    <protectedRange sqref="N31:Q32" name="Bereich1"/>
    <protectedRange sqref="N28:Q28 N24:Q24 N21:Q21 N18:Q18" name="Bereich1_1"/>
  </protectedRanges>
  <mergeCells count="69">
    <mergeCell ref="J16:M17"/>
    <mergeCell ref="J18:M20"/>
    <mergeCell ref="J21:M23"/>
    <mergeCell ref="J24:M27"/>
    <mergeCell ref="J28:M29"/>
    <mergeCell ref="B28:B29"/>
    <mergeCell ref="C28:E28"/>
    <mergeCell ref="F28:G29"/>
    <mergeCell ref="H28:I28"/>
    <mergeCell ref="C29:E29"/>
    <mergeCell ref="H29:I29"/>
    <mergeCell ref="H24:I24"/>
    <mergeCell ref="H25:I25"/>
    <mergeCell ref="C23:E23"/>
    <mergeCell ref="B24:B27"/>
    <mergeCell ref="C24:E24"/>
    <mergeCell ref="F24:G27"/>
    <mergeCell ref="C25:E25"/>
    <mergeCell ref="C26:E26"/>
    <mergeCell ref="H26:I26"/>
    <mergeCell ref="C27:E27"/>
    <mergeCell ref="H27:I27"/>
    <mergeCell ref="C17:E17"/>
    <mergeCell ref="H17:I17"/>
    <mergeCell ref="B21:B23"/>
    <mergeCell ref="C21:E21"/>
    <mergeCell ref="F21:G23"/>
    <mergeCell ref="C22:E22"/>
    <mergeCell ref="H22:I22"/>
    <mergeCell ref="H21:I21"/>
    <mergeCell ref="B18:B20"/>
    <mergeCell ref="H23:I23"/>
    <mergeCell ref="C18:E18"/>
    <mergeCell ref="F18:G20"/>
    <mergeCell ref="H18:I18"/>
    <mergeCell ref="C19:E19"/>
    <mergeCell ref="H19:I19"/>
    <mergeCell ref="H20:I20"/>
    <mergeCell ref="C20:E20"/>
    <mergeCell ref="B16:B17"/>
    <mergeCell ref="F16:G17"/>
    <mergeCell ref="B15:M15"/>
    <mergeCell ref="B4:M4"/>
    <mergeCell ref="C6:G6"/>
    <mergeCell ref="C7:M7"/>
    <mergeCell ref="C8:M8"/>
    <mergeCell ref="C9:M9"/>
    <mergeCell ref="C10:M10"/>
    <mergeCell ref="C14:E14"/>
    <mergeCell ref="F14:G14"/>
    <mergeCell ref="H14:I14"/>
    <mergeCell ref="J14:M14"/>
    <mergeCell ref="C16:E16"/>
    <mergeCell ref="H16:I16"/>
    <mergeCell ref="N14:Q14"/>
    <mergeCell ref="N16:Q16"/>
    <mergeCell ref="N17:Q17"/>
    <mergeCell ref="N18:Q18"/>
    <mergeCell ref="N19:Q19"/>
    <mergeCell ref="N20:Q20"/>
    <mergeCell ref="N21:Q21"/>
    <mergeCell ref="N22:Q22"/>
    <mergeCell ref="N23:Q23"/>
    <mergeCell ref="N24:Q24"/>
    <mergeCell ref="N25:Q25"/>
    <mergeCell ref="N26:Q26"/>
    <mergeCell ref="N29:Q29"/>
    <mergeCell ref="N28:Q28"/>
    <mergeCell ref="N27:Q27"/>
  </mergeCells>
  <conditionalFormatting sqref="H16:I16 H18:I29">
    <cfRule type="containsText" dxfId="28" priority="3" operator="containsText" text="Bitte auswählen">
      <formula>NOT(ISERROR(SEARCH("Bitte auswählen",H16)))</formula>
    </cfRule>
  </conditionalFormatting>
  <conditionalFormatting sqref="H17:I17">
    <cfRule type="containsText" dxfId="27" priority="1" operator="containsText" text="Bitte auswählen">
      <formula>NOT(ISERROR(SEARCH("Bitte auswählen",H17)))</formula>
    </cfRule>
  </conditionalFormatting>
  <dataValidations xWindow="793" yWindow="421" count="2">
    <dataValidation allowBlank="1" showInputMessage="1" showErrorMessage="1" promptTitle="[+] Klicken" prompt="Hier können Sie sich erweiterte Informationen zu dem Prozess anzeigen lassen." sqref="A11" xr:uid="{BBE6C6CD-2854-4FA1-AA62-D4A9B98CA349}"/>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B22B8EC8-8672-48BF-94EC-CE84E86401D0}"/>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793" yWindow="421" count="1">
        <x14:dataValidation type="list" allowBlank="1" showInputMessage="1" showErrorMessage="1" xr:uid="{DBB0A598-2CE3-4769-8303-5FAE48E66AC9}">
          <x14:formula1>
            <xm:f>Data!$I$3:$I$8</xm:f>
          </x14:formula1>
          <xm:sqref>H16:I29</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498D8-9749-4332-94B7-C97AD5FEFA98}">
  <sheetPr>
    <tabColor theme="5"/>
    <pageSetUpPr fitToPage="1"/>
  </sheetPr>
  <dimension ref="B4:AG30"/>
  <sheetViews>
    <sheetView showGridLines="0" zoomScale="90" zoomScaleNormal="90" zoomScalePageLayoutView="85" workbookViewId="0"/>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68.54296875" style="48" hidden="1" customWidth="1" outlineLevel="1"/>
    <col min="7" max="7" width="26.453125" style="48" hidden="1" customWidth="1" outlineLevel="1"/>
    <col min="8" max="8" width="11.453125" style="48" collapsed="1"/>
    <col min="9" max="10" width="11.453125" style="48"/>
    <col min="11" max="11" width="13.26953125" style="48" customWidth="1"/>
    <col min="12" max="12" width="11.453125" style="48"/>
    <col min="13" max="13" width="38.54296875" style="48" customWidth="1"/>
    <col min="14" max="14" width="11.453125" style="48"/>
    <col min="15" max="15" width="13.26953125" style="48" customWidth="1"/>
    <col min="16" max="16" width="11.453125" style="48"/>
    <col min="17" max="17" width="24.81640625" style="48" customWidth="1"/>
    <col min="18" max="18" width="11.453125" style="49"/>
    <col min="19" max="24" width="11.453125" style="48" customWidth="1"/>
    <col min="25" max="25" width="14" style="48" customWidth="1"/>
    <col min="26" max="32" width="11.453125" style="48" customWidth="1"/>
    <col min="33" max="33" width="11.453125" style="48" hidden="1" customWidth="1"/>
    <col min="34" max="16384" width="11.453125" style="48"/>
  </cols>
  <sheetData>
    <row r="4" spans="2:33" ht="14" x14ac:dyDescent="0.3">
      <c r="B4" s="290" t="s">
        <v>39</v>
      </c>
      <c r="C4" s="290"/>
      <c r="D4" s="290"/>
      <c r="E4" s="290"/>
      <c r="F4" s="290"/>
      <c r="G4" s="290"/>
      <c r="H4" s="290"/>
      <c r="I4" s="290"/>
      <c r="J4" s="290"/>
      <c r="K4" s="290"/>
      <c r="L4" s="290"/>
      <c r="M4" s="290"/>
      <c r="N4" s="216"/>
      <c r="O4" s="216"/>
      <c r="P4" s="216"/>
      <c r="Q4" s="216"/>
    </row>
    <row r="5" spans="2:33" ht="9" customHeight="1" x14ac:dyDescent="0.25"/>
    <row r="6" spans="2:33" ht="32.25" customHeight="1" thickBot="1" x14ac:dyDescent="0.3">
      <c r="B6" s="77" t="s">
        <v>132</v>
      </c>
      <c r="C6" s="293" t="s">
        <v>174</v>
      </c>
      <c r="D6" s="293"/>
      <c r="E6" s="293"/>
      <c r="F6" s="293"/>
      <c r="G6" s="293"/>
      <c r="H6" s="53"/>
      <c r="I6" s="53"/>
      <c r="J6" s="53"/>
      <c r="K6" s="53" t="s">
        <v>36</v>
      </c>
      <c r="L6" s="55">
        <f>ROUNDDOWN(Z16/0.25,0)*0.25</f>
        <v>0</v>
      </c>
      <c r="M6" s="54" t="str">
        <f>IF(L6&lt;1,"Unvollständig",IF(L6&lt;2,"Initial",IF(L6&lt;3,"Gemanagt",IF(L6&lt;4,"Definiert",IF(L6&lt;5,"Quantitativ gemanagt",IF(L6&lt;6,"Optimiert","Ausstehend"))))))</f>
        <v>Unvollständig</v>
      </c>
      <c r="N6" s="53"/>
      <c r="O6" s="53"/>
      <c r="P6" s="55"/>
      <c r="Q6" s="54"/>
    </row>
    <row r="7" spans="2:33" ht="35.25" hidden="1" customHeight="1" outlineLevel="1" x14ac:dyDescent="0.25">
      <c r="B7" s="76" t="s">
        <v>211</v>
      </c>
      <c r="C7" s="294" t="s">
        <v>622</v>
      </c>
      <c r="D7" s="295"/>
      <c r="E7" s="295"/>
      <c r="F7" s="295"/>
      <c r="G7" s="295"/>
      <c r="H7" s="295"/>
      <c r="I7" s="295"/>
      <c r="J7" s="295"/>
      <c r="K7" s="295"/>
      <c r="L7" s="295"/>
      <c r="M7" s="296"/>
      <c r="N7" s="218"/>
      <c r="O7" s="218"/>
      <c r="P7" s="218"/>
      <c r="Q7" s="218"/>
    </row>
    <row r="8" spans="2:33" ht="70.5" hidden="1" customHeight="1" outlineLevel="1" x14ac:dyDescent="0.25">
      <c r="B8" s="51" t="s">
        <v>212</v>
      </c>
      <c r="C8" s="297" t="s">
        <v>623</v>
      </c>
      <c r="D8" s="298"/>
      <c r="E8" s="298"/>
      <c r="F8" s="298"/>
      <c r="G8" s="298"/>
      <c r="H8" s="298"/>
      <c r="I8" s="298"/>
      <c r="J8" s="298"/>
      <c r="K8" s="298"/>
      <c r="L8" s="298"/>
      <c r="M8" s="299"/>
      <c r="N8" s="217"/>
      <c r="O8" s="217"/>
      <c r="P8" s="217"/>
      <c r="Q8" s="217"/>
    </row>
    <row r="9" spans="2:33" ht="75" hidden="1" customHeight="1" outlineLevel="1" x14ac:dyDescent="0.25">
      <c r="B9" s="51" t="s">
        <v>30</v>
      </c>
      <c r="C9" s="300" t="s">
        <v>624</v>
      </c>
      <c r="D9" s="301"/>
      <c r="E9" s="301"/>
      <c r="F9" s="301"/>
      <c r="G9" s="301"/>
      <c r="H9" s="301"/>
      <c r="I9" s="301"/>
      <c r="J9" s="301"/>
      <c r="K9" s="301"/>
      <c r="L9" s="301"/>
      <c r="M9" s="302"/>
      <c r="N9" s="218"/>
      <c r="O9" s="218"/>
      <c r="P9" s="218"/>
      <c r="Q9" s="218"/>
    </row>
    <row r="10" spans="2:33" ht="65.25" hidden="1" customHeight="1" outlineLevel="1" x14ac:dyDescent="0.25">
      <c r="B10" s="51" t="s">
        <v>31</v>
      </c>
      <c r="C10" s="300" t="s">
        <v>625</v>
      </c>
      <c r="D10" s="301"/>
      <c r="E10" s="301"/>
      <c r="F10" s="301"/>
      <c r="G10" s="301"/>
      <c r="H10" s="301"/>
      <c r="I10" s="301"/>
      <c r="J10" s="301"/>
      <c r="K10" s="301"/>
      <c r="L10" s="301"/>
      <c r="M10" s="302"/>
      <c r="N10" s="218"/>
      <c r="O10" s="218"/>
      <c r="P10" s="218"/>
      <c r="Q10" s="218"/>
    </row>
    <row r="11" spans="2:33" collapsed="1" x14ac:dyDescent="0.25"/>
    <row r="12" spans="2:33" ht="13" x14ac:dyDescent="0.3">
      <c r="B12" s="50" t="s">
        <v>33</v>
      </c>
      <c r="C12" s="49"/>
    </row>
    <row r="13" spans="2:33" ht="6.75" customHeight="1" x14ac:dyDescent="0.25"/>
    <row r="14" spans="2:33" ht="21.75" customHeight="1" x14ac:dyDescent="0.25">
      <c r="B14" s="52" t="s">
        <v>34</v>
      </c>
      <c r="C14" s="353" t="s">
        <v>37</v>
      </c>
      <c r="D14" s="354"/>
      <c r="E14" s="355"/>
      <c r="F14" s="341" t="s">
        <v>67</v>
      </c>
      <c r="G14" s="356"/>
      <c r="H14" s="341" t="s">
        <v>3</v>
      </c>
      <c r="I14" s="356"/>
      <c r="J14" s="341" t="s">
        <v>886</v>
      </c>
      <c r="K14" s="342"/>
      <c r="L14" s="342"/>
      <c r="M14" s="342"/>
      <c r="N14" s="341" t="s">
        <v>38</v>
      </c>
      <c r="O14" s="342"/>
      <c r="P14" s="342"/>
      <c r="Q14" s="342"/>
      <c r="S14" s="149"/>
      <c r="T14" s="149" t="s">
        <v>35</v>
      </c>
      <c r="U14" s="149"/>
      <c r="V14" s="149"/>
      <c r="W14" s="149"/>
      <c r="X14" s="149"/>
      <c r="Y14" s="149" t="s">
        <v>45</v>
      </c>
      <c r="Z14" s="149" t="s">
        <v>44</v>
      </c>
    </row>
    <row r="15" spans="2:33" ht="1.5" customHeight="1" x14ac:dyDescent="0.3">
      <c r="B15" s="314"/>
      <c r="C15" s="314"/>
      <c r="D15" s="314"/>
      <c r="E15" s="314"/>
      <c r="F15" s="314"/>
      <c r="G15" s="314"/>
      <c r="H15" s="314"/>
      <c r="I15" s="314"/>
      <c r="J15" s="314"/>
      <c r="K15" s="314"/>
      <c r="L15" s="314"/>
      <c r="M15" s="314"/>
      <c r="N15" s="219"/>
      <c r="O15" s="219"/>
      <c r="P15" s="219"/>
      <c r="Q15" s="219"/>
    </row>
    <row r="16" spans="2:33" ht="40" customHeight="1" thickBot="1" x14ac:dyDescent="0.35">
      <c r="B16" s="323">
        <v>1</v>
      </c>
      <c r="C16" s="350" t="s">
        <v>1107</v>
      </c>
      <c r="D16" s="350"/>
      <c r="E16" s="350"/>
      <c r="F16" s="288" t="s">
        <v>626</v>
      </c>
      <c r="G16" s="288"/>
      <c r="H16" s="366" t="s">
        <v>42</v>
      </c>
      <c r="I16" s="366"/>
      <c r="J16" s="383" t="s">
        <v>29</v>
      </c>
      <c r="K16" s="383"/>
      <c r="L16" s="383"/>
      <c r="M16" s="383"/>
      <c r="N16" s="359"/>
      <c r="O16" s="359"/>
      <c r="P16" s="359"/>
      <c r="Q16" s="359"/>
      <c r="S16" s="155">
        <f>IF(H16="Nicht anwendbar","n.a.",0)</f>
        <v>0</v>
      </c>
      <c r="T16" s="49">
        <f>IF(H16="Vollständig",1,0)</f>
        <v>0</v>
      </c>
      <c r="U16" s="49">
        <f>IF(H16="In den meisten Fällen",0.75,0)</f>
        <v>0</v>
      </c>
      <c r="V16" s="49">
        <f>IF(H16="In ein Paar Fällen",0.5,0)</f>
        <v>0</v>
      </c>
      <c r="W16" s="49">
        <f>IF(H16="Gar nicht",0,0)</f>
        <v>0</v>
      </c>
      <c r="X16" s="49">
        <f>IFERROR(SUM(T16:W18)/COUNTIF(H16:H18,"&lt;&gt;Nicht anwendbar"),"n.a.")</f>
        <v>0</v>
      </c>
      <c r="Y16" s="48">
        <f>X16</f>
        <v>0</v>
      </c>
      <c r="Z16" s="48">
        <f>IF(Y16&lt;&gt;"n.a.",SUM(Y16,Y19,Y21,Y24,Y28),NA())</f>
        <v>0</v>
      </c>
      <c r="AG16" s="49" t="str">
        <f t="shared" ref="AG16:AG20" si="0">IF(X16&gt;0.5,"Umgesetzt","Nicht umgesetzt")</f>
        <v>Nicht umgesetzt</v>
      </c>
    </row>
    <row r="17" spans="2:33" ht="40" customHeight="1" thickBot="1" x14ac:dyDescent="0.3">
      <c r="B17" s="323"/>
      <c r="C17" s="330" t="s">
        <v>1105</v>
      </c>
      <c r="D17" s="330"/>
      <c r="E17" s="330"/>
      <c r="F17" s="288"/>
      <c r="G17" s="288"/>
      <c r="H17" s="366" t="s">
        <v>42</v>
      </c>
      <c r="I17" s="366"/>
      <c r="J17" s="383"/>
      <c r="K17" s="383"/>
      <c r="L17" s="383"/>
      <c r="M17" s="383"/>
      <c r="N17" s="339"/>
      <c r="O17" s="339"/>
      <c r="P17" s="339"/>
      <c r="Q17" s="339"/>
      <c r="S17" s="49">
        <f t="shared" ref="S17:S30" si="1">IF(H17="Nicht anwendbar","n.a.",0)</f>
        <v>0</v>
      </c>
      <c r="T17" s="49">
        <f t="shared" ref="T17:T30" si="2">IF(H17="Vollständig",1,0)</f>
        <v>0</v>
      </c>
      <c r="U17" s="49">
        <f t="shared" ref="U17" si="3">IF(H17="In den meisten Fällen",0.75,0)</f>
        <v>0</v>
      </c>
      <c r="V17" s="49">
        <f t="shared" ref="V17" si="4">IF(H17="In ein Paar Fällen",0.5,0)</f>
        <v>0</v>
      </c>
      <c r="W17" s="49">
        <f t="shared" ref="W17" si="5">IF(H17="Gar nicht",0,0)</f>
        <v>0</v>
      </c>
      <c r="X17" s="49"/>
      <c r="AG17" s="49" t="str">
        <f t="shared" ref="AG17" si="6">IF(X17&gt;0.5,"Umgesetzt","Nicht umgesetzt")</f>
        <v>Nicht umgesetzt</v>
      </c>
    </row>
    <row r="18" spans="2:33" ht="50.15" customHeight="1" thickBot="1" x14ac:dyDescent="0.35">
      <c r="B18" s="326"/>
      <c r="C18" s="360" t="s">
        <v>1106</v>
      </c>
      <c r="D18" s="360"/>
      <c r="E18" s="360"/>
      <c r="F18" s="289"/>
      <c r="G18" s="289"/>
      <c r="H18" s="340" t="s">
        <v>42</v>
      </c>
      <c r="I18" s="340"/>
      <c r="J18" s="384"/>
      <c r="K18" s="384"/>
      <c r="L18" s="384"/>
      <c r="M18" s="384"/>
      <c r="N18" s="339"/>
      <c r="O18" s="339"/>
      <c r="P18" s="339"/>
      <c r="Q18" s="339"/>
      <c r="S18" s="74">
        <f t="shared" si="1"/>
        <v>0</v>
      </c>
      <c r="T18" s="75">
        <f t="shared" si="2"/>
        <v>0</v>
      </c>
      <c r="U18" s="75">
        <f>IF(H18="In den meisten Fällen",0.75,0)</f>
        <v>0</v>
      </c>
      <c r="V18" s="75">
        <f>IF(H18="In ein Paar Fällen",0.5,0)</f>
        <v>0</v>
      </c>
      <c r="W18" s="75">
        <f>IF(H18="Gar nicht",0,0)</f>
        <v>0</v>
      </c>
      <c r="X18" s="75"/>
      <c r="AG18" s="49" t="str">
        <f>IF(X18&gt;0.5,"Umgesetzt","Nicht umgesetzt")</f>
        <v>Nicht umgesetzt</v>
      </c>
    </row>
    <row r="19" spans="2:33" ht="40" customHeight="1" thickBot="1" x14ac:dyDescent="0.3">
      <c r="B19" s="325">
        <v>2</v>
      </c>
      <c r="C19" s="343" t="s">
        <v>610</v>
      </c>
      <c r="D19" s="343"/>
      <c r="E19" s="343"/>
      <c r="F19" s="361" t="s">
        <v>627</v>
      </c>
      <c r="G19" s="362"/>
      <c r="H19" s="365" t="s">
        <v>42</v>
      </c>
      <c r="I19" s="365"/>
      <c r="J19" s="351" t="s">
        <v>982</v>
      </c>
      <c r="K19" s="352"/>
      <c r="L19" s="352"/>
      <c r="M19" s="352"/>
      <c r="N19" s="401"/>
      <c r="O19" s="401"/>
      <c r="P19" s="401"/>
      <c r="Q19" s="401"/>
      <c r="S19" s="49">
        <f t="shared" si="1"/>
        <v>0</v>
      </c>
      <c r="T19" s="49">
        <f t="shared" si="2"/>
        <v>0</v>
      </c>
      <c r="U19" s="49">
        <f>IF(H19="In den meisten Fällen",0.75,0)</f>
        <v>0</v>
      </c>
      <c r="V19" s="49">
        <f>IF(H19="In ein Paar Fällen",0.5,0)</f>
        <v>0</v>
      </c>
      <c r="W19" s="49">
        <f>IF(H19="Gar nicht",0,0)</f>
        <v>0</v>
      </c>
      <c r="X19" s="143">
        <f>IFERROR(SUM(T19:W20)/COUNTIF(H19:H20,"&lt;&gt;Nicht anwendbar"),"n.a.")</f>
        <v>0</v>
      </c>
      <c r="Y19" s="48">
        <f>IF(X16=1,X19,0)</f>
        <v>0</v>
      </c>
      <c r="AG19" s="49" t="str">
        <f t="shared" si="0"/>
        <v>Nicht umgesetzt</v>
      </c>
    </row>
    <row r="20" spans="2:33" ht="40" customHeight="1" thickBot="1" x14ac:dyDescent="0.3">
      <c r="B20" s="326"/>
      <c r="C20" s="308" t="s">
        <v>611</v>
      </c>
      <c r="D20" s="308"/>
      <c r="E20" s="308"/>
      <c r="F20" s="308"/>
      <c r="G20" s="308"/>
      <c r="H20" s="340" t="s">
        <v>42</v>
      </c>
      <c r="I20" s="340"/>
      <c r="J20" s="275"/>
      <c r="K20" s="275"/>
      <c r="L20" s="275"/>
      <c r="M20" s="275"/>
      <c r="N20" s="339"/>
      <c r="O20" s="339"/>
      <c r="P20" s="339"/>
      <c r="Q20" s="339"/>
      <c r="S20" s="75">
        <f t="shared" si="1"/>
        <v>0</v>
      </c>
      <c r="T20" s="75">
        <f t="shared" si="2"/>
        <v>0</v>
      </c>
      <c r="U20" s="75">
        <f t="shared" ref="U20:U30" si="7">IF(H20="In den meisten Fällen",0.75,0)</f>
        <v>0</v>
      </c>
      <c r="V20" s="75">
        <f t="shared" ref="V20:V30" si="8">IF(H20="In ein Paar Fällen",0.5,0)</f>
        <v>0</v>
      </c>
      <c r="W20" s="75">
        <f t="shared" ref="W20:W30" si="9">IF(H20="Gar nicht",0,0)</f>
        <v>0</v>
      </c>
      <c r="X20" s="75"/>
      <c r="AG20" s="49" t="str">
        <f t="shared" si="0"/>
        <v>Nicht umgesetzt</v>
      </c>
    </row>
    <row r="21" spans="2:33" ht="40" customHeight="1" thickBot="1" x14ac:dyDescent="0.3">
      <c r="B21" s="325">
        <v>3</v>
      </c>
      <c r="C21" s="344" t="s">
        <v>612</v>
      </c>
      <c r="D21" s="345"/>
      <c r="E21" s="345"/>
      <c r="F21" s="370" t="s">
        <v>628</v>
      </c>
      <c r="G21" s="371"/>
      <c r="H21" s="365" t="s">
        <v>42</v>
      </c>
      <c r="I21" s="365"/>
      <c r="J21" s="357" t="s">
        <v>983</v>
      </c>
      <c r="K21" s="358"/>
      <c r="L21" s="358"/>
      <c r="M21" s="358"/>
      <c r="N21" s="401"/>
      <c r="O21" s="401"/>
      <c r="P21" s="401"/>
      <c r="Q21" s="401"/>
      <c r="S21" s="48">
        <f t="shared" si="1"/>
        <v>0</v>
      </c>
      <c r="T21" s="49">
        <f t="shared" si="2"/>
        <v>0</v>
      </c>
      <c r="U21" s="49">
        <f t="shared" si="7"/>
        <v>0</v>
      </c>
      <c r="V21" s="49">
        <f t="shared" si="8"/>
        <v>0</v>
      </c>
      <c r="W21" s="49">
        <f t="shared" si="9"/>
        <v>0</v>
      </c>
      <c r="X21" s="143">
        <f>IFERROR(SUM(T21:W23)/COUNTIF(H21:H23,"&lt;&gt;Nicht anwendbar"),"n.a.")</f>
        <v>0</v>
      </c>
      <c r="Y21" s="48">
        <f>IF(Y19=1,X21,0)</f>
        <v>0</v>
      </c>
    </row>
    <row r="22" spans="2:33" ht="40" customHeight="1" thickBot="1" x14ac:dyDescent="0.3">
      <c r="B22" s="323"/>
      <c r="C22" s="347" t="s">
        <v>613</v>
      </c>
      <c r="D22" s="348"/>
      <c r="E22" s="348"/>
      <c r="F22" s="337"/>
      <c r="G22" s="337"/>
      <c r="H22" s="366" t="s">
        <v>42</v>
      </c>
      <c r="I22" s="366"/>
      <c r="J22" s="282"/>
      <c r="K22" s="282"/>
      <c r="L22" s="282"/>
      <c r="M22" s="282"/>
      <c r="N22" s="339"/>
      <c r="O22" s="339"/>
      <c r="P22" s="339"/>
      <c r="Q22" s="339"/>
      <c r="S22" s="48">
        <f t="shared" si="1"/>
        <v>0</v>
      </c>
      <c r="T22" s="49">
        <f t="shared" si="2"/>
        <v>0</v>
      </c>
      <c r="U22" s="49">
        <f t="shared" si="7"/>
        <v>0</v>
      </c>
      <c r="V22" s="49">
        <f t="shared" si="8"/>
        <v>0</v>
      </c>
      <c r="W22" s="49">
        <f t="shared" si="9"/>
        <v>0</v>
      </c>
    </row>
    <row r="23" spans="2:33" ht="40" customHeight="1" thickBot="1" x14ac:dyDescent="0.3">
      <c r="B23" s="326"/>
      <c r="C23" s="368" t="s">
        <v>614</v>
      </c>
      <c r="D23" s="368"/>
      <c r="E23" s="368"/>
      <c r="F23" s="386"/>
      <c r="G23" s="386"/>
      <c r="H23" s="340" t="s">
        <v>42</v>
      </c>
      <c r="I23" s="340"/>
      <c r="J23" s="270"/>
      <c r="K23" s="270"/>
      <c r="L23" s="270"/>
      <c r="M23" s="270"/>
      <c r="N23" s="339"/>
      <c r="O23" s="339"/>
      <c r="P23" s="339"/>
      <c r="Q23" s="339"/>
      <c r="S23" s="75">
        <f t="shared" si="1"/>
        <v>0</v>
      </c>
      <c r="T23" s="75">
        <f t="shared" si="2"/>
        <v>0</v>
      </c>
      <c r="U23" s="75">
        <f t="shared" si="7"/>
        <v>0</v>
      </c>
      <c r="V23" s="75">
        <f t="shared" si="8"/>
        <v>0</v>
      </c>
      <c r="W23" s="75">
        <f t="shared" si="9"/>
        <v>0</v>
      </c>
      <c r="X23" s="75"/>
    </row>
    <row r="24" spans="2:33" ht="40" customHeight="1" thickBot="1" x14ac:dyDescent="0.3">
      <c r="B24" s="325">
        <v>4</v>
      </c>
      <c r="C24" s="343" t="s">
        <v>615</v>
      </c>
      <c r="D24" s="343"/>
      <c r="E24" s="343"/>
      <c r="F24" s="361" t="s">
        <v>629</v>
      </c>
      <c r="G24" s="362"/>
      <c r="H24" s="365" t="s">
        <v>42</v>
      </c>
      <c r="I24" s="365"/>
      <c r="J24" s="351" t="s">
        <v>984</v>
      </c>
      <c r="K24" s="352"/>
      <c r="L24" s="352"/>
      <c r="M24" s="352"/>
      <c r="N24" s="401"/>
      <c r="O24" s="401"/>
      <c r="P24" s="401"/>
      <c r="Q24" s="401"/>
      <c r="S24" s="49">
        <f t="shared" si="1"/>
        <v>0</v>
      </c>
      <c r="T24" s="49">
        <f t="shared" si="2"/>
        <v>0</v>
      </c>
      <c r="U24" s="49">
        <f t="shared" si="7"/>
        <v>0</v>
      </c>
      <c r="V24" s="49">
        <f t="shared" si="8"/>
        <v>0</v>
      </c>
      <c r="W24" s="49">
        <f t="shared" si="9"/>
        <v>0</v>
      </c>
      <c r="X24" s="143">
        <f>IFERROR(SUM(T24:W27)/COUNTIF(H24:H27,"&lt;&gt;Nicht anwendbar"),"n.a.")</f>
        <v>0</v>
      </c>
      <c r="Y24" s="48">
        <f>IF(Y21=1,X24,0)</f>
        <v>0</v>
      </c>
    </row>
    <row r="25" spans="2:33" ht="40" customHeight="1" thickBot="1" x14ac:dyDescent="0.3">
      <c r="B25" s="323"/>
      <c r="C25" s="330" t="s">
        <v>616</v>
      </c>
      <c r="D25" s="330"/>
      <c r="E25" s="330"/>
      <c r="F25" s="307"/>
      <c r="G25" s="307"/>
      <c r="H25" s="366" t="s">
        <v>42</v>
      </c>
      <c r="I25" s="366"/>
      <c r="J25" s="286"/>
      <c r="K25" s="286"/>
      <c r="L25" s="286"/>
      <c r="M25" s="286"/>
      <c r="N25" s="339"/>
      <c r="O25" s="339"/>
      <c r="P25" s="339"/>
      <c r="Q25" s="339"/>
      <c r="S25" s="49">
        <f t="shared" si="1"/>
        <v>0</v>
      </c>
      <c r="T25" s="49">
        <f t="shared" si="2"/>
        <v>0</v>
      </c>
      <c r="U25" s="49">
        <f t="shared" si="7"/>
        <v>0</v>
      </c>
      <c r="V25" s="49">
        <f t="shared" si="8"/>
        <v>0</v>
      </c>
      <c r="W25" s="49">
        <f t="shared" si="9"/>
        <v>0</v>
      </c>
      <c r="X25" s="49"/>
    </row>
    <row r="26" spans="2:33" ht="40" customHeight="1" thickBot="1" x14ac:dyDescent="0.3">
      <c r="B26" s="323"/>
      <c r="C26" s="330" t="s">
        <v>617</v>
      </c>
      <c r="D26" s="330"/>
      <c r="E26" s="330"/>
      <c r="F26" s="307"/>
      <c r="G26" s="307"/>
      <c r="H26" s="366" t="s">
        <v>42</v>
      </c>
      <c r="I26" s="366"/>
      <c r="J26" s="286"/>
      <c r="K26" s="286"/>
      <c r="L26" s="286"/>
      <c r="M26" s="286"/>
      <c r="N26" s="339"/>
      <c r="O26" s="339"/>
      <c r="P26" s="339"/>
      <c r="Q26" s="339"/>
      <c r="S26" s="49">
        <f t="shared" si="1"/>
        <v>0</v>
      </c>
      <c r="T26" s="49">
        <f t="shared" si="2"/>
        <v>0</v>
      </c>
      <c r="U26" s="49">
        <f t="shared" si="7"/>
        <v>0</v>
      </c>
      <c r="V26" s="49">
        <f t="shared" si="8"/>
        <v>0</v>
      </c>
      <c r="W26" s="49">
        <f t="shared" si="9"/>
        <v>0</v>
      </c>
      <c r="X26" s="49"/>
    </row>
    <row r="27" spans="2:33" ht="40" customHeight="1" thickBot="1" x14ac:dyDescent="0.3">
      <c r="B27" s="323"/>
      <c r="C27" s="350" t="s">
        <v>618</v>
      </c>
      <c r="D27" s="350"/>
      <c r="E27" s="350"/>
      <c r="F27" s="308"/>
      <c r="G27" s="308"/>
      <c r="H27" s="340" t="s">
        <v>42</v>
      </c>
      <c r="I27" s="340"/>
      <c r="J27" s="275"/>
      <c r="K27" s="275"/>
      <c r="L27" s="275"/>
      <c r="M27" s="275"/>
      <c r="N27" s="339"/>
      <c r="O27" s="339"/>
      <c r="P27" s="339"/>
      <c r="Q27" s="339"/>
      <c r="S27" s="149">
        <f t="shared" si="1"/>
        <v>0</v>
      </c>
      <c r="T27" s="149">
        <f t="shared" si="2"/>
        <v>0</v>
      </c>
      <c r="U27" s="149">
        <f t="shared" si="7"/>
        <v>0</v>
      </c>
      <c r="V27" s="149">
        <f t="shared" si="8"/>
        <v>0</v>
      </c>
      <c r="W27" s="149">
        <f t="shared" si="9"/>
        <v>0</v>
      </c>
      <c r="X27" s="149"/>
    </row>
    <row r="28" spans="2:33" ht="40" customHeight="1" thickBot="1" x14ac:dyDescent="0.3">
      <c r="B28" s="325">
        <v>5</v>
      </c>
      <c r="C28" s="343" t="s">
        <v>620</v>
      </c>
      <c r="D28" s="343"/>
      <c r="E28" s="343"/>
      <c r="F28" s="361" t="s">
        <v>630</v>
      </c>
      <c r="G28" s="362"/>
      <c r="H28" s="365" t="s">
        <v>42</v>
      </c>
      <c r="I28" s="365"/>
      <c r="J28" s="351" t="s">
        <v>985</v>
      </c>
      <c r="K28" s="352"/>
      <c r="L28" s="352"/>
      <c r="M28" s="352"/>
      <c r="N28" s="401"/>
      <c r="O28" s="401"/>
      <c r="P28" s="401"/>
      <c r="Q28" s="401"/>
      <c r="S28" s="157">
        <f t="shared" si="1"/>
        <v>0</v>
      </c>
      <c r="T28" s="157">
        <f t="shared" si="2"/>
        <v>0</v>
      </c>
      <c r="U28" s="157">
        <f t="shared" si="7"/>
        <v>0</v>
      </c>
      <c r="V28" s="157">
        <f t="shared" si="8"/>
        <v>0</v>
      </c>
      <c r="W28" s="157">
        <f t="shared" si="9"/>
        <v>0</v>
      </c>
      <c r="X28" s="143">
        <f>IFERROR(SUM(T28:W30)/COUNTIF(H28:H30,"&lt;&gt;Nicht anwendbar"),"n.a.")</f>
        <v>0</v>
      </c>
      <c r="Y28" s="48">
        <f>IF(Y24=1,X28,0)</f>
        <v>0</v>
      </c>
    </row>
    <row r="29" spans="2:33" ht="40" customHeight="1" thickBot="1" x14ac:dyDescent="0.3">
      <c r="B29" s="323"/>
      <c r="C29" s="330" t="s">
        <v>621</v>
      </c>
      <c r="D29" s="330"/>
      <c r="E29" s="330"/>
      <c r="F29" s="350"/>
      <c r="G29" s="307"/>
      <c r="H29" s="366" t="s">
        <v>42</v>
      </c>
      <c r="I29" s="366"/>
      <c r="J29" s="286"/>
      <c r="K29" s="286"/>
      <c r="L29" s="286"/>
      <c r="M29" s="286"/>
      <c r="N29" s="339"/>
      <c r="O29" s="339"/>
      <c r="P29" s="339"/>
      <c r="Q29" s="339"/>
      <c r="S29" s="49">
        <f t="shared" si="1"/>
        <v>0</v>
      </c>
      <c r="T29" s="49">
        <f t="shared" si="2"/>
        <v>0</v>
      </c>
      <c r="U29" s="49">
        <f t="shared" ref="U29" si="10">IF(H29="In den meisten Fällen",0.75,0)</f>
        <v>0</v>
      </c>
      <c r="V29" s="49">
        <f t="shared" ref="V29" si="11">IF(H29="In ein Paar Fällen",0.5,0)</f>
        <v>0</v>
      </c>
      <c r="W29" s="49">
        <f t="shared" ref="W29" si="12">IF(H29="Gar nicht",0,0)</f>
        <v>0</v>
      </c>
      <c r="X29" s="49"/>
    </row>
    <row r="30" spans="2:33" ht="40" customHeight="1" thickBot="1" x14ac:dyDescent="0.3">
      <c r="B30" s="326"/>
      <c r="C30" s="310" t="s">
        <v>619</v>
      </c>
      <c r="D30" s="310"/>
      <c r="E30" s="310"/>
      <c r="F30" s="308"/>
      <c r="G30" s="308"/>
      <c r="H30" s="340" t="s">
        <v>42</v>
      </c>
      <c r="I30" s="340"/>
      <c r="J30" s="275"/>
      <c r="K30" s="275"/>
      <c r="L30" s="275"/>
      <c r="M30" s="275"/>
      <c r="N30" s="414"/>
      <c r="O30" s="414"/>
      <c r="P30" s="414"/>
      <c r="Q30" s="414"/>
      <c r="S30" s="149">
        <f t="shared" si="1"/>
        <v>0</v>
      </c>
      <c r="T30" s="149">
        <f t="shared" si="2"/>
        <v>0</v>
      </c>
      <c r="U30" s="149">
        <f t="shared" si="7"/>
        <v>0</v>
      </c>
      <c r="V30" s="149">
        <f t="shared" si="8"/>
        <v>0</v>
      </c>
      <c r="W30" s="149">
        <f t="shared" si="9"/>
        <v>0</v>
      </c>
      <c r="X30" s="149"/>
    </row>
  </sheetData>
  <sheetProtection formatCells="0"/>
  <protectedRanges>
    <protectedRange sqref="N31:Q32" name="Bereich1"/>
    <protectedRange sqref="N28:Q28 N24:Q24 N21:Q21 N19:Q19" name="Bereich1_1"/>
  </protectedRanges>
  <mergeCells count="72">
    <mergeCell ref="J19:M20"/>
    <mergeCell ref="J21:M23"/>
    <mergeCell ref="J24:M27"/>
    <mergeCell ref="J28:M30"/>
    <mergeCell ref="B28:B30"/>
    <mergeCell ref="C28:E28"/>
    <mergeCell ref="F28:G30"/>
    <mergeCell ref="H28:I28"/>
    <mergeCell ref="C30:E30"/>
    <mergeCell ref="H30:I30"/>
    <mergeCell ref="C29:E29"/>
    <mergeCell ref="H29:I29"/>
    <mergeCell ref="B24:B27"/>
    <mergeCell ref="C24:E24"/>
    <mergeCell ref="F24:G27"/>
    <mergeCell ref="H24:I24"/>
    <mergeCell ref="C25:E25"/>
    <mergeCell ref="H25:I25"/>
    <mergeCell ref="C26:E26"/>
    <mergeCell ref="H26:I26"/>
    <mergeCell ref="C27:E27"/>
    <mergeCell ref="H27:I27"/>
    <mergeCell ref="B19:B20"/>
    <mergeCell ref="C23:E23"/>
    <mergeCell ref="H23:I23"/>
    <mergeCell ref="B21:B23"/>
    <mergeCell ref="C21:E21"/>
    <mergeCell ref="F21:G23"/>
    <mergeCell ref="H21:I21"/>
    <mergeCell ref="C22:E22"/>
    <mergeCell ref="H22:I22"/>
    <mergeCell ref="C19:E19"/>
    <mergeCell ref="F19:G20"/>
    <mergeCell ref="H19:I19"/>
    <mergeCell ref="C20:E20"/>
    <mergeCell ref="H20:I20"/>
    <mergeCell ref="B15:M15"/>
    <mergeCell ref="B4:M4"/>
    <mergeCell ref="C6:G6"/>
    <mergeCell ref="C7:M7"/>
    <mergeCell ref="C8:M8"/>
    <mergeCell ref="C9:M9"/>
    <mergeCell ref="C10:M10"/>
    <mergeCell ref="C14:E14"/>
    <mergeCell ref="F14:G14"/>
    <mergeCell ref="H14:I14"/>
    <mergeCell ref="J14:M14"/>
    <mergeCell ref="J16:M18"/>
    <mergeCell ref="C18:E18"/>
    <mergeCell ref="H18:I18"/>
    <mergeCell ref="B16:B18"/>
    <mergeCell ref="F16:G18"/>
    <mergeCell ref="C17:E17"/>
    <mergeCell ref="H17:I17"/>
    <mergeCell ref="C16:E16"/>
    <mergeCell ref="H16:I16"/>
    <mergeCell ref="N14:Q14"/>
    <mergeCell ref="N16:Q16"/>
    <mergeCell ref="N17:Q17"/>
    <mergeCell ref="N18:Q18"/>
    <mergeCell ref="N19:Q19"/>
    <mergeCell ref="N20:Q20"/>
    <mergeCell ref="N21:Q21"/>
    <mergeCell ref="N22:Q22"/>
    <mergeCell ref="N23:Q23"/>
    <mergeCell ref="N24:Q24"/>
    <mergeCell ref="N30:Q30"/>
    <mergeCell ref="N25:Q25"/>
    <mergeCell ref="N26:Q26"/>
    <mergeCell ref="N27:Q27"/>
    <mergeCell ref="N28:Q28"/>
    <mergeCell ref="N29:Q29"/>
  </mergeCells>
  <conditionalFormatting sqref="H19:I28 H30:I30">
    <cfRule type="containsText" dxfId="26" priority="5" operator="containsText" text="Bitte auswählen">
      <formula>NOT(ISERROR(SEARCH("Bitte auswählen",H19)))</formula>
    </cfRule>
  </conditionalFormatting>
  <conditionalFormatting sqref="H16:I16 H18:I18">
    <cfRule type="containsText" dxfId="25" priority="3" operator="containsText" text="Bitte auswählen">
      <formula>NOT(ISERROR(SEARCH("Bitte auswählen",H16)))</formula>
    </cfRule>
  </conditionalFormatting>
  <conditionalFormatting sqref="H17:I17">
    <cfRule type="containsText" dxfId="24" priority="2" operator="containsText" text="Bitte auswählen">
      <formula>NOT(ISERROR(SEARCH("Bitte auswählen",H17)))</formula>
    </cfRule>
  </conditionalFormatting>
  <conditionalFormatting sqref="H29:I29">
    <cfRule type="containsText" dxfId="23" priority="1" operator="containsText" text="Bitte auswählen">
      <formula>NOT(ISERROR(SEARCH("Bitte auswählen",H29)))</formula>
    </cfRule>
  </conditionalFormatting>
  <dataValidations xWindow="716" yWindow="411" count="2">
    <dataValidation allowBlank="1" showInputMessage="1" showErrorMessage="1" promptTitle="[+] Klicken" prompt="Hier können Sie sich erweiterte Informationen zu dem Prozess anzeigen lassen." sqref="A11" xr:uid="{0736A70D-D013-48EE-AA27-E8E148775797}"/>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25B613A6-DE7A-4509-9D4D-7A14D5EDE34E}"/>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716" yWindow="411" count="1">
        <x14:dataValidation type="list" allowBlank="1" showInputMessage="1" showErrorMessage="1" xr:uid="{8A00B78E-74DF-46DF-B46D-ACD17210F078}">
          <x14:formula1>
            <xm:f>Data!$I$3:$I$8</xm:f>
          </x14:formula1>
          <xm:sqref>H16:I30</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C7CD9-3CF2-44F9-A659-D7FFFA520FFA}">
  <sheetPr>
    <tabColor theme="5"/>
    <pageSetUpPr fitToPage="1"/>
  </sheetPr>
  <dimension ref="B4:AG27"/>
  <sheetViews>
    <sheetView showGridLines="0" zoomScale="90" zoomScaleNormal="90" zoomScalePageLayoutView="85" workbookViewId="0"/>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68.54296875" style="48" hidden="1" customWidth="1" outlineLevel="1"/>
    <col min="7" max="7" width="26.453125" style="48" hidden="1" customWidth="1" outlineLevel="1"/>
    <col min="8" max="8" width="11.453125" style="48" collapsed="1"/>
    <col min="9" max="10" width="11.453125" style="48"/>
    <col min="11" max="11" width="13.26953125" style="48" customWidth="1"/>
    <col min="12" max="12" width="11.453125" style="48"/>
    <col min="13" max="13" width="25.1796875" style="48" customWidth="1"/>
    <col min="14" max="14" width="11.453125" style="48"/>
    <col min="15" max="15" width="13.26953125" style="48" customWidth="1"/>
    <col min="16" max="16" width="11.453125" style="48"/>
    <col min="17" max="17" width="24.81640625" style="48" customWidth="1"/>
    <col min="18" max="18" width="11.453125" style="49"/>
    <col min="19" max="24" width="11.453125" style="48" customWidth="1"/>
    <col min="25" max="25" width="14" style="48" customWidth="1"/>
    <col min="26" max="32" width="11.453125" style="48" customWidth="1"/>
    <col min="33" max="33" width="11.453125" style="48" hidden="1" customWidth="1"/>
    <col min="34" max="16384" width="11.453125" style="48"/>
  </cols>
  <sheetData>
    <row r="4" spans="2:33" ht="14" x14ac:dyDescent="0.3">
      <c r="B4" s="290" t="s">
        <v>39</v>
      </c>
      <c r="C4" s="290"/>
      <c r="D4" s="290"/>
      <c r="E4" s="290"/>
      <c r="F4" s="290"/>
      <c r="G4" s="290"/>
      <c r="H4" s="290"/>
      <c r="I4" s="290"/>
      <c r="J4" s="290"/>
      <c r="K4" s="290"/>
      <c r="L4" s="290"/>
      <c r="M4" s="290"/>
      <c r="N4" s="216"/>
      <c r="O4" s="216"/>
      <c r="P4" s="216"/>
      <c r="Q4" s="216"/>
    </row>
    <row r="5" spans="2:33" ht="9" customHeight="1" x14ac:dyDescent="0.25"/>
    <row r="6" spans="2:33" ht="32.25" customHeight="1" thickBot="1" x14ac:dyDescent="0.3">
      <c r="B6" s="77" t="s">
        <v>133</v>
      </c>
      <c r="C6" s="293" t="s">
        <v>175</v>
      </c>
      <c r="D6" s="293"/>
      <c r="E6" s="293"/>
      <c r="F6" s="293"/>
      <c r="G6" s="293"/>
      <c r="H6" s="53"/>
      <c r="I6" s="53"/>
      <c r="J6" s="53"/>
      <c r="K6" s="53" t="s">
        <v>36</v>
      </c>
      <c r="L6" s="55">
        <f>ROUNDDOWN(Z16/0.25,0)*0.25</f>
        <v>0</v>
      </c>
      <c r="M6" s="54" t="str">
        <f>IF(L6&lt;1,"Unvollständig",IF(L6&lt;2,"Initial",IF(L6&lt;3,"Gemanagt",IF(L6&lt;4,"Definiert",IF(L6&lt;5,"Quantitativ gemanagt",IF(L6&lt;6,"Optimiert","Ausstehend"))))))</f>
        <v>Unvollständig</v>
      </c>
      <c r="N6" s="53"/>
      <c r="O6" s="53"/>
      <c r="P6" s="55"/>
      <c r="Q6" s="54"/>
    </row>
    <row r="7" spans="2:33" ht="35.25" hidden="1" customHeight="1" outlineLevel="1" x14ac:dyDescent="0.25">
      <c r="B7" s="76" t="s">
        <v>211</v>
      </c>
      <c r="C7" s="294" t="s">
        <v>805</v>
      </c>
      <c r="D7" s="295"/>
      <c r="E7" s="295"/>
      <c r="F7" s="295"/>
      <c r="G7" s="295"/>
      <c r="H7" s="295"/>
      <c r="I7" s="295"/>
      <c r="J7" s="295"/>
      <c r="K7" s="295"/>
      <c r="L7" s="295"/>
      <c r="M7" s="296"/>
      <c r="N7" s="218"/>
      <c r="O7" s="218"/>
      <c r="P7" s="218"/>
      <c r="Q7" s="218"/>
    </row>
    <row r="8" spans="2:33" ht="70.5" hidden="1" customHeight="1" outlineLevel="1" x14ac:dyDescent="0.25">
      <c r="B8" s="51" t="s">
        <v>212</v>
      </c>
      <c r="C8" s="297" t="s">
        <v>639</v>
      </c>
      <c r="D8" s="298"/>
      <c r="E8" s="298"/>
      <c r="F8" s="298"/>
      <c r="G8" s="298"/>
      <c r="H8" s="298"/>
      <c r="I8" s="298"/>
      <c r="J8" s="298"/>
      <c r="K8" s="298"/>
      <c r="L8" s="298"/>
      <c r="M8" s="299"/>
      <c r="N8" s="217"/>
      <c r="O8" s="217"/>
      <c r="P8" s="217"/>
      <c r="Q8" s="217"/>
    </row>
    <row r="9" spans="2:33" ht="75" hidden="1" customHeight="1" outlineLevel="1" x14ac:dyDescent="0.25">
      <c r="B9" s="51" t="s">
        <v>30</v>
      </c>
      <c r="C9" s="300" t="s">
        <v>640</v>
      </c>
      <c r="D9" s="301"/>
      <c r="E9" s="301"/>
      <c r="F9" s="301"/>
      <c r="G9" s="301"/>
      <c r="H9" s="301"/>
      <c r="I9" s="301"/>
      <c r="J9" s="301"/>
      <c r="K9" s="301"/>
      <c r="L9" s="301"/>
      <c r="M9" s="302"/>
      <c r="N9" s="218"/>
      <c r="O9" s="218"/>
      <c r="P9" s="218"/>
      <c r="Q9" s="218"/>
    </row>
    <row r="10" spans="2:33" ht="65.25" hidden="1" customHeight="1" outlineLevel="1" x14ac:dyDescent="0.25">
      <c r="B10" s="51" t="s">
        <v>31</v>
      </c>
      <c r="C10" s="300" t="s">
        <v>641</v>
      </c>
      <c r="D10" s="301"/>
      <c r="E10" s="301"/>
      <c r="F10" s="301"/>
      <c r="G10" s="301"/>
      <c r="H10" s="301"/>
      <c r="I10" s="301"/>
      <c r="J10" s="301"/>
      <c r="K10" s="301"/>
      <c r="L10" s="301"/>
      <c r="M10" s="302"/>
      <c r="N10" s="218"/>
      <c r="O10" s="218"/>
      <c r="P10" s="218"/>
      <c r="Q10" s="218"/>
    </row>
    <row r="11" spans="2:33" collapsed="1" x14ac:dyDescent="0.25"/>
    <row r="12" spans="2:33" ht="13" x14ac:dyDescent="0.3">
      <c r="B12" s="50" t="s">
        <v>33</v>
      </c>
      <c r="C12" s="49"/>
    </row>
    <row r="13" spans="2:33" ht="6.75" customHeight="1" x14ac:dyDescent="0.25"/>
    <row r="14" spans="2:33" ht="21.75" customHeight="1" x14ac:dyDescent="0.25">
      <c r="B14" s="52" t="s">
        <v>34</v>
      </c>
      <c r="C14" s="353" t="s">
        <v>37</v>
      </c>
      <c r="D14" s="354"/>
      <c r="E14" s="355"/>
      <c r="F14" s="341" t="s">
        <v>67</v>
      </c>
      <c r="G14" s="356"/>
      <c r="H14" s="341" t="s">
        <v>3</v>
      </c>
      <c r="I14" s="356"/>
      <c r="J14" s="341" t="s">
        <v>886</v>
      </c>
      <c r="K14" s="342"/>
      <c r="L14" s="342"/>
      <c r="M14" s="342"/>
      <c r="N14" s="341" t="s">
        <v>38</v>
      </c>
      <c r="O14" s="342"/>
      <c r="P14" s="342"/>
      <c r="Q14" s="342"/>
      <c r="S14" s="149"/>
      <c r="T14" s="149" t="s">
        <v>35</v>
      </c>
      <c r="U14" s="149"/>
      <c r="V14" s="149"/>
      <c r="W14" s="149"/>
      <c r="X14" s="149"/>
      <c r="Y14" s="149" t="s">
        <v>45</v>
      </c>
      <c r="Z14" s="149" t="s">
        <v>44</v>
      </c>
    </row>
    <row r="15" spans="2:33" ht="1.5" customHeight="1" x14ac:dyDescent="0.3">
      <c r="B15" s="314"/>
      <c r="C15" s="314"/>
      <c r="D15" s="314"/>
      <c r="E15" s="314"/>
      <c r="F15" s="314"/>
      <c r="G15" s="314"/>
      <c r="H15" s="314"/>
      <c r="I15" s="314"/>
      <c r="J15" s="314"/>
      <c r="K15" s="314"/>
      <c r="L15" s="314"/>
      <c r="M15" s="314"/>
      <c r="N15" s="219"/>
      <c r="O15" s="219"/>
      <c r="P15" s="219"/>
      <c r="Q15" s="219"/>
    </row>
    <row r="16" spans="2:33" ht="40" customHeight="1" thickBot="1" x14ac:dyDescent="0.35">
      <c r="B16" s="182">
        <v>1</v>
      </c>
      <c r="C16" s="310" t="s">
        <v>1152</v>
      </c>
      <c r="D16" s="310"/>
      <c r="E16" s="310"/>
      <c r="F16" s="310" t="s">
        <v>642</v>
      </c>
      <c r="G16" s="310"/>
      <c r="H16" s="340" t="s">
        <v>42</v>
      </c>
      <c r="I16" s="340"/>
      <c r="J16" s="340" t="s">
        <v>29</v>
      </c>
      <c r="K16" s="340"/>
      <c r="L16" s="340"/>
      <c r="M16" s="340"/>
      <c r="N16" s="415"/>
      <c r="O16" s="415"/>
      <c r="P16" s="415"/>
      <c r="Q16" s="415"/>
      <c r="S16" s="74">
        <f>IF(H16="Nicht anwendbar","n.a.",0)</f>
        <v>0</v>
      </c>
      <c r="T16" s="75">
        <f>IF(H16="Vollständig",1,0)</f>
        <v>0</v>
      </c>
      <c r="U16" s="75">
        <f>IF(H16="In den meisten Fällen",0.75,0)</f>
        <v>0</v>
      </c>
      <c r="V16" s="75">
        <f>IF(H16="In ein Paar Fällen",0.5,0)</f>
        <v>0</v>
      </c>
      <c r="W16" s="75">
        <f>IF(H16="Gar nicht",0,0)</f>
        <v>0</v>
      </c>
      <c r="X16" s="142">
        <f>IF(S16&gt;0,"n.a.",SUM(S16:W16))</f>
        <v>0</v>
      </c>
      <c r="Y16" s="48">
        <f>X16</f>
        <v>0</v>
      </c>
      <c r="Z16" s="48">
        <f>IF(Y16&lt;&gt;"n.a.",SUM(Y16,Y17,Y19,Y22,Y25),NA())</f>
        <v>0</v>
      </c>
      <c r="AG16" s="49" t="str">
        <f t="shared" ref="AG16:AG18" si="0">IF(X16&gt;0.5,"Umgesetzt","Nicht umgesetzt")</f>
        <v>Nicht umgesetzt</v>
      </c>
    </row>
    <row r="17" spans="2:33" ht="40" customHeight="1" thickBot="1" x14ac:dyDescent="0.3">
      <c r="B17" s="325">
        <v>2</v>
      </c>
      <c r="C17" s="343" t="s">
        <v>631</v>
      </c>
      <c r="D17" s="343"/>
      <c r="E17" s="343"/>
      <c r="F17" s="361" t="s">
        <v>643</v>
      </c>
      <c r="G17" s="362"/>
      <c r="H17" s="365" t="s">
        <v>42</v>
      </c>
      <c r="I17" s="365"/>
      <c r="J17" s="352" t="s">
        <v>986</v>
      </c>
      <c r="K17" s="352"/>
      <c r="L17" s="352"/>
      <c r="M17" s="352"/>
      <c r="N17" s="339"/>
      <c r="O17" s="339"/>
      <c r="P17" s="339"/>
      <c r="Q17" s="339"/>
      <c r="S17" s="49">
        <f t="shared" ref="S17:S27" si="1">IF(H17="Nicht anwendbar","n.a.",0)</f>
        <v>0</v>
      </c>
      <c r="T17" s="49">
        <f t="shared" ref="T17:T27" si="2">IF(H17="Vollständig",1,0)</f>
        <v>0</v>
      </c>
      <c r="U17" s="49">
        <f>IF(H17="In den meisten Fällen",0.75,0)</f>
        <v>0</v>
      </c>
      <c r="V17" s="49">
        <f>IF(H17="In ein Paar Fällen",0.5,0)</f>
        <v>0</v>
      </c>
      <c r="W17" s="49">
        <f>IF(H17="Gar nicht",0,0)</f>
        <v>0</v>
      </c>
      <c r="X17" s="49">
        <f>IFERROR(SUM(T17:W18)/COUNTIF(H17:H18,"&lt;&gt;Nicht anwendbar"),"n.a.")</f>
        <v>0</v>
      </c>
      <c r="Y17" s="48">
        <f>IF(X16=1,X17,0)</f>
        <v>0</v>
      </c>
      <c r="AG17" s="49" t="str">
        <f t="shared" si="0"/>
        <v>Nicht umgesetzt</v>
      </c>
    </row>
    <row r="18" spans="2:33" ht="40" customHeight="1" thickBot="1" x14ac:dyDescent="0.3">
      <c r="B18" s="326"/>
      <c r="C18" s="308" t="s">
        <v>632</v>
      </c>
      <c r="D18" s="308"/>
      <c r="E18" s="308"/>
      <c r="F18" s="308"/>
      <c r="G18" s="308"/>
      <c r="H18" s="340" t="s">
        <v>42</v>
      </c>
      <c r="I18" s="340"/>
      <c r="J18" s="275"/>
      <c r="K18" s="275"/>
      <c r="L18" s="275"/>
      <c r="M18" s="275"/>
      <c r="N18" s="339"/>
      <c r="O18" s="339"/>
      <c r="P18" s="339"/>
      <c r="Q18" s="339"/>
      <c r="S18" s="75">
        <f t="shared" si="1"/>
        <v>0</v>
      </c>
      <c r="T18" s="75">
        <f t="shared" si="2"/>
        <v>0</v>
      </c>
      <c r="U18" s="75">
        <f t="shared" ref="U18:U27" si="3">IF(H18="In den meisten Fällen",0.75,0)</f>
        <v>0</v>
      </c>
      <c r="V18" s="75">
        <f t="shared" ref="V18:V27" si="4">IF(H18="In ein Paar Fällen",0.5,0)</f>
        <v>0</v>
      </c>
      <c r="W18" s="75">
        <f t="shared" ref="W18:W27" si="5">IF(H18="Gar nicht",0,0)</f>
        <v>0</v>
      </c>
      <c r="X18" s="75"/>
      <c r="AG18" s="49" t="str">
        <f t="shared" si="0"/>
        <v>Nicht umgesetzt</v>
      </c>
    </row>
    <row r="19" spans="2:33" ht="40" customHeight="1" thickBot="1" x14ac:dyDescent="0.3">
      <c r="B19" s="325">
        <v>3</v>
      </c>
      <c r="C19" s="344" t="s">
        <v>785</v>
      </c>
      <c r="D19" s="345"/>
      <c r="E19" s="345"/>
      <c r="F19" s="370" t="s">
        <v>644</v>
      </c>
      <c r="G19" s="371"/>
      <c r="H19" s="365" t="s">
        <v>42</v>
      </c>
      <c r="I19" s="365"/>
      <c r="J19" s="357" t="s">
        <v>987</v>
      </c>
      <c r="K19" s="358"/>
      <c r="L19" s="358"/>
      <c r="M19" s="358"/>
      <c r="N19" s="401"/>
      <c r="O19" s="401"/>
      <c r="P19" s="401"/>
      <c r="Q19" s="401"/>
      <c r="S19" s="48">
        <f t="shared" si="1"/>
        <v>0</v>
      </c>
      <c r="T19" s="49">
        <f t="shared" si="2"/>
        <v>0</v>
      </c>
      <c r="U19" s="49">
        <f t="shared" si="3"/>
        <v>0</v>
      </c>
      <c r="V19" s="49">
        <f t="shared" si="4"/>
        <v>0</v>
      </c>
      <c r="W19" s="49">
        <f t="shared" si="5"/>
        <v>0</v>
      </c>
      <c r="X19" s="143">
        <f>IFERROR(SUM(T19:W21)/COUNTIF(H19:H21,"&lt;&gt;Nicht anwendbar"),"n.a.")</f>
        <v>0</v>
      </c>
      <c r="Y19" s="48">
        <f>IF(Y17=1,X19,0)</f>
        <v>0</v>
      </c>
    </row>
    <row r="20" spans="2:33" ht="40" customHeight="1" thickBot="1" x14ac:dyDescent="0.3">
      <c r="B20" s="323"/>
      <c r="C20" s="347" t="s">
        <v>633</v>
      </c>
      <c r="D20" s="348"/>
      <c r="E20" s="348"/>
      <c r="F20" s="337"/>
      <c r="G20" s="337"/>
      <c r="H20" s="366" t="s">
        <v>42</v>
      </c>
      <c r="I20" s="366"/>
      <c r="J20" s="282"/>
      <c r="K20" s="282"/>
      <c r="L20" s="282"/>
      <c r="M20" s="282"/>
      <c r="N20" s="339"/>
      <c r="O20" s="339"/>
      <c r="P20" s="339"/>
      <c r="Q20" s="339"/>
      <c r="S20" s="48">
        <f t="shared" si="1"/>
        <v>0</v>
      </c>
      <c r="T20" s="49">
        <f t="shared" si="2"/>
        <v>0</v>
      </c>
      <c r="U20" s="49">
        <f t="shared" si="3"/>
        <v>0</v>
      </c>
      <c r="V20" s="49">
        <f t="shared" si="4"/>
        <v>0</v>
      </c>
      <c r="W20" s="49">
        <f t="shared" si="5"/>
        <v>0</v>
      </c>
    </row>
    <row r="21" spans="2:33" ht="40" customHeight="1" thickBot="1" x14ac:dyDescent="0.3">
      <c r="B21" s="326"/>
      <c r="C21" s="368" t="s">
        <v>634</v>
      </c>
      <c r="D21" s="368"/>
      <c r="E21" s="368"/>
      <c r="F21" s="386"/>
      <c r="G21" s="386"/>
      <c r="H21" s="340" t="s">
        <v>42</v>
      </c>
      <c r="I21" s="340"/>
      <c r="J21" s="270"/>
      <c r="K21" s="270"/>
      <c r="L21" s="270"/>
      <c r="M21" s="270"/>
      <c r="N21" s="339"/>
      <c r="O21" s="339"/>
      <c r="P21" s="339"/>
      <c r="Q21" s="339"/>
      <c r="S21" s="75">
        <f t="shared" si="1"/>
        <v>0</v>
      </c>
      <c r="T21" s="75">
        <f t="shared" si="2"/>
        <v>0</v>
      </c>
      <c r="U21" s="75">
        <f t="shared" si="3"/>
        <v>0</v>
      </c>
      <c r="V21" s="75">
        <f t="shared" si="4"/>
        <v>0</v>
      </c>
      <c r="W21" s="75">
        <f t="shared" si="5"/>
        <v>0</v>
      </c>
      <c r="X21" s="75"/>
    </row>
    <row r="22" spans="2:33" ht="40" customHeight="1" thickBot="1" x14ac:dyDescent="0.3">
      <c r="B22" s="325">
        <v>4</v>
      </c>
      <c r="C22" s="343" t="s">
        <v>635</v>
      </c>
      <c r="D22" s="343"/>
      <c r="E22" s="343"/>
      <c r="F22" s="361" t="s">
        <v>645</v>
      </c>
      <c r="G22" s="362"/>
      <c r="H22" s="365" t="s">
        <v>42</v>
      </c>
      <c r="I22" s="365"/>
      <c r="J22" s="351" t="s">
        <v>988</v>
      </c>
      <c r="K22" s="352"/>
      <c r="L22" s="352"/>
      <c r="M22" s="352"/>
      <c r="N22" s="401"/>
      <c r="O22" s="401"/>
      <c r="P22" s="401"/>
      <c r="Q22" s="401"/>
      <c r="S22" s="49">
        <f t="shared" si="1"/>
        <v>0</v>
      </c>
      <c r="T22" s="49">
        <f t="shared" si="2"/>
        <v>0</v>
      </c>
      <c r="U22" s="49">
        <f t="shared" si="3"/>
        <v>0</v>
      </c>
      <c r="V22" s="49">
        <f t="shared" si="4"/>
        <v>0</v>
      </c>
      <c r="W22" s="49">
        <f t="shared" si="5"/>
        <v>0</v>
      </c>
      <c r="X22" s="143">
        <f>IFERROR(SUM(T22:W24)/COUNTIF(H22:H24,"&lt;&gt;Nicht anwendbar"),"n.a.")</f>
        <v>0</v>
      </c>
      <c r="Y22" s="48">
        <f>IF(Y19=1,X22,0)</f>
        <v>0</v>
      </c>
    </row>
    <row r="23" spans="2:33" ht="40" customHeight="1" thickBot="1" x14ac:dyDescent="0.3">
      <c r="B23" s="323"/>
      <c r="C23" s="330" t="s">
        <v>636</v>
      </c>
      <c r="D23" s="330"/>
      <c r="E23" s="330"/>
      <c r="F23" s="307"/>
      <c r="G23" s="307"/>
      <c r="H23" s="366" t="s">
        <v>42</v>
      </c>
      <c r="I23" s="366"/>
      <c r="J23" s="286"/>
      <c r="K23" s="286"/>
      <c r="L23" s="286"/>
      <c r="M23" s="286"/>
      <c r="N23" s="339"/>
      <c r="O23" s="339"/>
      <c r="P23" s="339"/>
      <c r="Q23" s="339"/>
      <c r="S23" s="49">
        <f t="shared" si="1"/>
        <v>0</v>
      </c>
      <c r="T23" s="49">
        <f t="shared" si="2"/>
        <v>0</v>
      </c>
      <c r="U23" s="49">
        <f t="shared" si="3"/>
        <v>0</v>
      </c>
      <c r="V23" s="49">
        <f t="shared" si="4"/>
        <v>0</v>
      </c>
      <c r="W23" s="49">
        <f t="shared" si="5"/>
        <v>0</v>
      </c>
      <c r="X23" s="49"/>
    </row>
    <row r="24" spans="2:33" ht="40" customHeight="1" thickBot="1" x14ac:dyDescent="0.3">
      <c r="B24" s="323"/>
      <c r="C24" s="350" t="s">
        <v>786</v>
      </c>
      <c r="D24" s="350"/>
      <c r="E24" s="350"/>
      <c r="F24" s="308"/>
      <c r="G24" s="308"/>
      <c r="H24" s="340" t="s">
        <v>42</v>
      </c>
      <c r="I24" s="340"/>
      <c r="J24" s="275"/>
      <c r="K24" s="275"/>
      <c r="L24" s="275"/>
      <c r="M24" s="275"/>
      <c r="N24" s="339"/>
      <c r="O24" s="339"/>
      <c r="P24" s="339"/>
      <c r="Q24" s="339"/>
      <c r="S24" s="149">
        <f t="shared" si="1"/>
        <v>0</v>
      </c>
      <c r="T24" s="149">
        <f t="shared" si="2"/>
        <v>0</v>
      </c>
      <c r="U24" s="149">
        <f t="shared" si="3"/>
        <v>0</v>
      </c>
      <c r="V24" s="149">
        <f t="shared" si="4"/>
        <v>0</v>
      </c>
      <c r="W24" s="149">
        <f t="shared" si="5"/>
        <v>0</v>
      </c>
      <c r="X24" s="149"/>
    </row>
    <row r="25" spans="2:33" ht="40" customHeight="1" thickBot="1" x14ac:dyDescent="0.3">
      <c r="B25" s="325">
        <v>5</v>
      </c>
      <c r="C25" s="343" t="s">
        <v>637</v>
      </c>
      <c r="D25" s="343"/>
      <c r="E25" s="343"/>
      <c r="F25" s="361" t="s">
        <v>806</v>
      </c>
      <c r="G25" s="362"/>
      <c r="H25" s="365" t="s">
        <v>42</v>
      </c>
      <c r="I25" s="365"/>
      <c r="J25" s="351" t="s">
        <v>1112</v>
      </c>
      <c r="K25" s="352"/>
      <c r="L25" s="352"/>
      <c r="M25" s="352"/>
      <c r="N25" s="401"/>
      <c r="O25" s="401"/>
      <c r="P25" s="401"/>
      <c r="Q25" s="401"/>
      <c r="S25" s="157">
        <f t="shared" si="1"/>
        <v>0</v>
      </c>
      <c r="T25" s="157">
        <f t="shared" si="2"/>
        <v>0</v>
      </c>
      <c r="U25" s="157">
        <f t="shared" si="3"/>
        <v>0</v>
      </c>
      <c r="V25" s="157">
        <f t="shared" si="4"/>
        <v>0</v>
      </c>
      <c r="W25" s="157">
        <f t="shared" si="5"/>
        <v>0</v>
      </c>
      <c r="X25" s="143">
        <f>IFERROR(SUM(T25:W27)/COUNTIF(H25:H27,"&lt;&gt;Nicht anwendbar"),"n.a.")</f>
        <v>0</v>
      </c>
      <c r="Y25" s="48">
        <f>IF(Y22=1,X25,0)</f>
        <v>0</v>
      </c>
    </row>
    <row r="26" spans="2:33" ht="40" customHeight="1" thickBot="1" x14ac:dyDescent="0.3">
      <c r="B26" s="323"/>
      <c r="C26" s="330" t="s">
        <v>638</v>
      </c>
      <c r="D26" s="330"/>
      <c r="E26" s="330"/>
      <c r="F26" s="350"/>
      <c r="G26" s="307"/>
      <c r="H26" s="366" t="s">
        <v>42</v>
      </c>
      <c r="I26" s="366"/>
      <c r="J26" s="286"/>
      <c r="K26" s="286"/>
      <c r="L26" s="286"/>
      <c r="M26" s="286"/>
      <c r="N26" s="339"/>
      <c r="O26" s="339"/>
      <c r="P26" s="339"/>
      <c r="Q26" s="339"/>
      <c r="S26" s="49">
        <f t="shared" si="1"/>
        <v>0</v>
      </c>
      <c r="T26" s="49">
        <f t="shared" si="2"/>
        <v>0</v>
      </c>
      <c r="U26" s="49">
        <f t="shared" ref="U26" si="6">IF(H26="In den meisten Fällen",0.75,0)</f>
        <v>0</v>
      </c>
      <c r="V26" s="49">
        <f t="shared" ref="V26" si="7">IF(H26="In ein Paar Fällen",0.5,0)</f>
        <v>0</v>
      </c>
      <c r="W26" s="49">
        <f t="shared" ref="W26" si="8">IF(H26="Gar nicht",0,0)</f>
        <v>0</v>
      </c>
      <c r="X26" s="49"/>
    </row>
    <row r="27" spans="2:33" ht="40" customHeight="1" thickBot="1" x14ac:dyDescent="0.3">
      <c r="B27" s="326"/>
      <c r="C27" s="310" t="s">
        <v>807</v>
      </c>
      <c r="D27" s="310"/>
      <c r="E27" s="310"/>
      <c r="F27" s="308"/>
      <c r="G27" s="308"/>
      <c r="H27" s="340" t="s">
        <v>42</v>
      </c>
      <c r="I27" s="340"/>
      <c r="J27" s="275"/>
      <c r="K27" s="275"/>
      <c r="L27" s="275"/>
      <c r="M27" s="275"/>
      <c r="N27" s="414"/>
      <c r="O27" s="414"/>
      <c r="P27" s="414"/>
      <c r="Q27" s="414"/>
      <c r="S27" s="149">
        <f t="shared" si="1"/>
        <v>0</v>
      </c>
      <c r="T27" s="149">
        <f t="shared" si="2"/>
        <v>0</v>
      </c>
      <c r="U27" s="149">
        <f t="shared" si="3"/>
        <v>0</v>
      </c>
      <c r="V27" s="149">
        <f t="shared" si="4"/>
        <v>0</v>
      </c>
      <c r="W27" s="149">
        <f t="shared" si="5"/>
        <v>0</v>
      </c>
      <c r="X27" s="149"/>
    </row>
  </sheetData>
  <sheetProtection formatCells="0"/>
  <protectedRanges>
    <protectedRange sqref="N31:Q32" name="Bereich1"/>
    <protectedRange sqref="N19:Q19 N22:Q22 N25:Q25" name="Bereich1_1"/>
  </protectedRanges>
  <mergeCells count="62">
    <mergeCell ref="B25:B27"/>
    <mergeCell ref="C25:E25"/>
    <mergeCell ref="F25:G27"/>
    <mergeCell ref="H25:I25"/>
    <mergeCell ref="C27:E27"/>
    <mergeCell ref="H27:I27"/>
    <mergeCell ref="C26:E26"/>
    <mergeCell ref="H26:I26"/>
    <mergeCell ref="B22:B24"/>
    <mergeCell ref="C22:E22"/>
    <mergeCell ref="F22:G24"/>
    <mergeCell ref="H22:I22"/>
    <mergeCell ref="C23:E23"/>
    <mergeCell ref="H23:I23"/>
    <mergeCell ref="C24:E24"/>
    <mergeCell ref="H24:I24"/>
    <mergeCell ref="B17:B18"/>
    <mergeCell ref="C21:E21"/>
    <mergeCell ref="H21:I21"/>
    <mergeCell ref="B19:B21"/>
    <mergeCell ref="C19:E19"/>
    <mergeCell ref="F19:G21"/>
    <mergeCell ref="H19:I19"/>
    <mergeCell ref="C20:E20"/>
    <mergeCell ref="H20:I20"/>
    <mergeCell ref="F16:G16"/>
    <mergeCell ref="H16:I16"/>
    <mergeCell ref="J16:M16"/>
    <mergeCell ref="C17:E17"/>
    <mergeCell ref="F17:G18"/>
    <mergeCell ref="H17:I17"/>
    <mergeCell ref="C18:E18"/>
    <mergeCell ref="H18:I18"/>
    <mergeCell ref="J25:M27"/>
    <mergeCell ref="J22:M24"/>
    <mergeCell ref="B15:M15"/>
    <mergeCell ref="B4:M4"/>
    <mergeCell ref="C6:G6"/>
    <mergeCell ref="C7:M7"/>
    <mergeCell ref="C8:M8"/>
    <mergeCell ref="C9:M9"/>
    <mergeCell ref="C10:M10"/>
    <mergeCell ref="C14:E14"/>
    <mergeCell ref="F14:G14"/>
    <mergeCell ref="H14:I14"/>
    <mergeCell ref="J14:M14"/>
    <mergeCell ref="J17:M18"/>
    <mergeCell ref="J19:M21"/>
    <mergeCell ref="C16:E16"/>
    <mergeCell ref="N14:Q14"/>
    <mergeCell ref="N16:Q16"/>
    <mergeCell ref="N17:Q17"/>
    <mergeCell ref="N18:Q18"/>
    <mergeCell ref="N19:Q19"/>
    <mergeCell ref="N25:Q25"/>
    <mergeCell ref="N26:Q26"/>
    <mergeCell ref="N27:Q27"/>
    <mergeCell ref="N20:Q20"/>
    <mergeCell ref="N21:Q21"/>
    <mergeCell ref="N22:Q22"/>
    <mergeCell ref="N23:Q23"/>
    <mergeCell ref="N24:Q24"/>
  </mergeCells>
  <conditionalFormatting sqref="H27:I27 H16:I25">
    <cfRule type="containsText" dxfId="22" priority="2" operator="containsText" text="Bitte auswählen">
      <formula>NOT(ISERROR(SEARCH("Bitte auswählen",H16)))</formula>
    </cfRule>
  </conditionalFormatting>
  <conditionalFormatting sqref="H26:I26">
    <cfRule type="containsText" dxfId="21" priority="1" operator="containsText" text="Bitte auswählen">
      <formula>NOT(ISERROR(SEARCH("Bitte auswählen",H26)))</formula>
    </cfRule>
  </conditionalFormatting>
  <dataValidations xWindow="748" yWindow="406" count="2">
    <dataValidation allowBlank="1" showInputMessage="1" showErrorMessage="1" promptTitle="[+] Klicken" prompt="Hier können Sie sich erweiterte Informationen zu dem Prozess anzeigen lassen." sqref="A11" xr:uid="{5089A5A4-6F68-4105-9E7E-5FD6BC136C2B}"/>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937BE136-96E1-4310-B31E-2BA16BB0AFE3}"/>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748" yWindow="406" count="1">
        <x14:dataValidation type="list" allowBlank="1" showInputMessage="1" showErrorMessage="1" xr:uid="{BA22FCD2-F820-47A8-8126-C2F898F2CF7D}">
          <x14:formula1>
            <xm:f>Data!$I$3:$I$8</xm:f>
          </x14:formula1>
          <xm:sqref>H16:I27</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64B39-91C7-450F-A2DA-112E4B57E628}">
  <sheetPr>
    <tabColor theme="5"/>
    <pageSetUpPr fitToPage="1"/>
  </sheetPr>
  <dimension ref="B4:AG30"/>
  <sheetViews>
    <sheetView showGridLines="0" zoomScale="90" zoomScaleNormal="90" zoomScalePageLayoutView="85" workbookViewId="0"/>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68.54296875" style="48" hidden="1" customWidth="1" outlineLevel="1"/>
    <col min="7" max="7" width="26.453125" style="48" hidden="1" customWidth="1" outlineLevel="1"/>
    <col min="8" max="8" width="11.453125" style="48" collapsed="1"/>
    <col min="9" max="10" width="11.453125" style="48"/>
    <col min="11" max="11" width="13.26953125" style="48" customWidth="1"/>
    <col min="12" max="12" width="11.453125" style="48"/>
    <col min="13" max="13" width="27.453125" style="48" customWidth="1"/>
    <col min="14" max="14" width="11.453125" style="48"/>
    <col min="15" max="15" width="13.26953125" style="48" customWidth="1"/>
    <col min="16" max="16" width="11.453125" style="48"/>
    <col min="17" max="17" width="24.81640625" style="48" customWidth="1"/>
    <col min="18" max="18" width="11.453125" style="49"/>
    <col min="19" max="24" width="11.453125" style="48" customWidth="1"/>
    <col min="25" max="25" width="14" style="48" customWidth="1"/>
    <col min="26" max="32" width="11.453125" style="48" customWidth="1"/>
    <col min="33" max="33" width="11.453125" style="48" hidden="1" customWidth="1"/>
    <col min="34" max="16384" width="11.453125" style="48"/>
  </cols>
  <sheetData>
    <row r="4" spans="2:33" ht="14" x14ac:dyDescent="0.3">
      <c r="B4" s="290" t="s">
        <v>39</v>
      </c>
      <c r="C4" s="290"/>
      <c r="D4" s="290"/>
      <c r="E4" s="290"/>
      <c r="F4" s="290"/>
      <c r="G4" s="290"/>
      <c r="H4" s="290"/>
      <c r="I4" s="290"/>
      <c r="J4" s="290"/>
      <c r="K4" s="290"/>
      <c r="L4" s="290"/>
      <c r="M4" s="290"/>
      <c r="N4" s="216"/>
      <c r="O4" s="216"/>
      <c r="P4" s="216"/>
      <c r="Q4" s="216"/>
    </row>
    <row r="5" spans="2:33" ht="9" customHeight="1" x14ac:dyDescent="0.25"/>
    <row r="6" spans="2:33" ht="32.25" customHeight="1" thickBot="1" x14ac:dyDescent="0.3">
      <c r="B6" s="77" t="s">
        <v>134</v>
      </c>
      <c r="C6" s="416" t="s">
        <v>176</v>
      </c>
      <c r="D6" s="416"/>
      <c r="E6" s="416"/>
      <c r="F6" s="416"/>
      <c r="G6" s="416"/>
      <c r="H6" s="53"/>
      <c r="I6" s="53"/>
      <c r="J6" s="53"/>
      <c r="K6" s="53" t="s">
        <v>36</v>
      </c>
      <c r="L6" s="55">
        <f>ROUNDDOWN(Z16/0.25,0)*0.25</f>
        <v>0</v>
      </c>
      <c r="M6" s="54" t="str">
        <f>IF(L6&lt;1,"Unvollständig",IF(L6&lt;2,"Initial",IF(L6&lt;3,"Gemanagt",IF(L6&lt;4,"Definiert",IF(L6&lt;5,"Quantitativ gemanagt",IF(L6&lt;6,"Optimiert","Ausstehend"))))))</f>
        <v>Unvollständig</v>
      </c>
      <c r="N6" s="53"/>
      <c r="O6" s="53"/>
      <c r="P6" s="55"/>
      <c r="Q6" s="54"/>
    </row>
    <row r="7" spans="2:33" ht="35.25" hidden="1" customHeight="1" outlineLevel="1" x14ac:dyDescent="0.25">
      <c r="B7" s="76" t="s">
        <v>211</v>
      </c>
      <c r="C7" s="294" t="s">
        <v>646</v>
      </c>
      <c r="D7" s="295"/>
      <c r="E7" s="295"/>
      <c r="F7" s="295"/>
      <c r="G7" s="295"/>
      <c r="H7" s="295"/>
      <c r="I7" s="295"/>
      <c r="J7" s="295"/>
      <c r="K7" s="295"/>
      <c r="L7" s="295"/>
      <c r="M7" s="296"/>
      <c r="N7" s="218"/>
      <c r="O7" s="218"/>
      <c r="P7" s="218"/>
      <c r="Q7" s="218"/>
    </row>
    <row r="8" spans="2:33" ht="70.5" hidden="1" customHeight="1" outlineLevel="1" x14ac:dyDescent="0.25">
      <c r="B8" s="51" t="s">
        <v>212</v>
      </c>
      <c r="C8" s="297" t="s">
        <v>808</v>
      </c>
      <c r="D8" s="298"/>
      <c r="E8" s="298"/>
      <c r="F8" s="298"/>
      <c r="G8" s="298"/>
      <c r="H8" s="298"/>
      <c r="I8" s="298"/>
      <c r="J8" s="298"/>
      <c r="K8" s="298"/>
      <c r="L8" s="298"/>
      <c r="M8" s="299"/>
      <c r="N8" s="217"/>
      <c r="O8" s="217"/>
      <c r="P8" s="217"/>
      <c r="Q8" s="217"/>
    </row>
    <row r="9" spans="2:33" ht="75" hidden="1" customHeight="1" outlineLevel="1" x14ac:dyDescent="0.25">
      <c r="B9" s="51" t="s">
        <v>30</v>
      </c>
      <c r="C9" s="300" t="s">
        <v>809</v>
      </c>
      <c r="D9" s="301"/>
      <c r="E9" s="301"/>
      <c r="F9" s="301"/>
      <c r="G9" s="301"/>
      <c r="H9" s="301"/>
      <c r="I9" s="301"/>
      <c r="J9" s="301"/>
      <c r="K9" s="301"/>
      <c r="L9" s="301"/>
      <c r="M9" s="302"/>
      <c r="N9" s="218"/>
      <c r="O9" s="218"/>
      <c r="P9" s="218"/>
      <c r="Q9" s="218"/>
    </row>
    <row r="10" spans="2:33" ht="65.25" hidden="1" customHeight="1" outlineLevel="1" x14ac:dyDescent="0.25">
      <c r="B10" s="51" t="s">
        <v>31</v>
      </c>
      <c r="C10" s="300" t="s">
        <v>810</v>
      </c>
      <c r="D10" s="301"/>
      <c r="E10" s="301"/>
      <c r="F10" s="301"/>
      <c r="G10" s="301"/>
      <c r="H10" s="301"/>
      <c r="I10" s="301"/>
      <c r="J10" s="301"/>
      <c r="K10" s="301"/>
      <c r="L10" s="301"/>
      <c r="M10" s="302"/>
      <c r="N10" s="218"/>
      <c r="O10" s="218"/>
      <c r="P10" s="218"/>
      <c r="Q10" s="218"/>
    </row>
    <row r="11" spans="2:33" collapsed="1" x14ac:dyDescent="0.25"/>
    <row r="12" spans="2:33" ht="13" x14ac:dyDescent="0.3">
      <c r="B12" s="50" t="s">
        <v>33</v>
      </c>
      <c r="C12" s="49"/>
    </row>
    <row r="13" spans="2:33" ht="6.75" customHeight="1" x14ac:dyDescent="0.25"/>
    <row r="14" spans="2:33" ht="21.75" customHeight="1" x14ac:dyDescent="0.25">
      <c r="B14" s="52" t="s">
        <v>34</v>
      </c>
      <c r="C14" s="353" t="s">
        <v>37</v>
      </c>
      <c r="D14" s="354"/>
      <c r="E14" s="355"/>
      <c r="F14" s="341" t="s">
        <v>67</v>
      </c>
      <c r="G14" s="356"/>
      <c r="H14" s="341" t="s">
        <v>3</v>
      </c>
      <c r="I14" s="356"/>
      <c r="J14" s="341" t="s">
        <v>886</v>
      </c>
      <c r="K14" s="342"/>
      <c r="L14" s="342"/>
      <c r="M14" s="342"/>
      <c r="N14" s="341" t="s">
        <v>38</v>
      </c>
      <c r="O14" s="342"/>
      <c r="P14" s="342"/>
      <c r="Q14" s="342"/>
      <c r="S14" s="149"/>
      <c r="T14" s="149" t="s">
        <v>35</v>
      </c>
      <c r="U14" s="149"/>
      <c r="V14" s="149"/>
      <c r="W14" s="149"/>
      <c r="X14" s="149"/>
      <c r="Y14" s="149" t="s">
        <v>45</v>
      </c>
      <c r="Z14" s="149" t="s">
        <v>44</v>
      </c>
    </row>
    <row r="15" spans="2:33" ht="1.5" customHeight="1" x14ac:dyDescent="0.3">
      <c r="B15" s="314"/>
      <c r="C15" s="314"/>
      <c r="D15" s="314"/>
      <c r="E15" s="314"/>
      <c r="F15" s="314"/>
      <c r="G15" s="314"/>
      <c r="H15" s="314"/>
      <c r="I15" s="314"/>
      <c r="J15" s="314"/>
      <c r="K15" s="314"/>
      <c r="L15" s="314"/>
      <c r="M15" s="314"/>
      <c r="N15" s="219"/>
      <c r="O15" s="219"/>
      <c r="P15" s="219"/>
      <c r="Q15" s="219"/>
    </row>
    <row r="16" spans="2:33" ht="40" customHeight="1" thickBot="1" x14ac:dyDescent="0.35">
      <c r="B16" s="323">
        <v>1</v>
      </c>
      <c r="C16" s="350" t="s">
        <v>647</v>
      </c>
      <c r="D16" s="350"/>
      <c r="E16" s="350"/>
      <c r="F16" s="288" t="s">
        <v>661</v>
      </c>
      <c r="G16" s="288"/>
      <c r="H16" s="366" t="s">
        <v>42</v>
      </c>
      <c r="I16" s="366"/>
      <c r="J16" s="383" t="s">
        <v>29</v>
      </c>
      <c r="K16" s="383"/>
      <c r="L16" s="383"/>
      <c r="M16" s="383"/>
      <c r="N16" s="359"/>
      <c r="O16" s="359"/>
      <c r="P16" s="359"/>
      <c r="Q16" s="359"/>
      <c r="S16" s="155">
        <f>IF(H16="Nicht anwendbar","n.a.",0)</f>
        <v>0</v>
      </c>
      <c r="T16" s="49">
        <f>IF(H16="Vollständig",1,0)</f>
        <v>0</v>
      </c>
      <c r="U16" s="49">
        <f>IF(H16="In den meisten Fällen",0.75,0)</f>
        <v>0</v>
      </c>
      <c r="V16" s="49">
        <f>IF(H16="In ein Paar Fällen",0.5,0)</f>
        <v>0</v>
      </c>
      <c r="W16" s="49">
        <f>IF(H16="Gar nicht",0,0)</f>
        <v>0</v>
      </c>
      <c r="X16" s="49">
        <f>IFERROR(SUM(T16:W17)/COUNTIF(H16:H17,"&lt;&gt;Nicht anwendbar"),"n.a.")</f>
        <v>0</v>
      </c>
      <c r="Y16" s="48">
        <f>X16</f>
        <v>0</v>
      </c>
      <c r="Z16" s="48">
        <f>IF(Y16&lt;&gt;"n.a.",SUM(Y16,Y18,Y21,Y24,Y28),NA())</f>
        <v>0</v>
      </c>
      <c r="AG16" s="49" t="str">
        <f t="shared" ref="AG16:AG20" si="0">IF(X16&gt;0.5,"Umgesetzt","Nicht umgesetzt")</f>
        <v>Nicht umgesetzt</v>
      </c>
    </row>
    <row r="17" spans="2:33" ht="43.5" customHeight="1" thickBot="1" x14ac:dyDescent="0.35">
      <c r="B17" s="326"/>
      <c r="C17" s="360" t="s">
        <v>648</v>
      </c>
      <c r="D17" s="360"/>
      <c r="E17" s="360"/>
      <c r="F17" s="289"/>
      <c r="G17" s="289"/>
      <c r="H17" s="340" t="s">
        <v>42</v>
      </c>
      <c r="I17" s="340"/>
      <c r="J17" s="384"/>
      <c r="K17" s="384"/>
      <c r="L17" s="384"/>
      <c r="M17" s="384"/>
      <c r="N17" s="378"/>
      <c r="O17" s="378"/>
      <c r="P17" s="378"/>
      <c r="Q17" s="378"/>
      <c r="S17" s="74">
        <f t="shared" ref="S17:S30" si="1">IF(H17="Nicht anwendbar","n.a.",0)</f>
        <v>0</v>
      </c>
      <c r="T17" s="75">
        <f t="shared" ref="T17:T30" si="2">IF(H17="Vollständig",1,0)</f>
        <v>0</v>
      </c>
      <c r="U17" s="75">
        <f>IF(H17="In den meisten Fällen",0.75,0)</f>
        <v>0</v>
      </c>
      <c r="V17" s="75">
        <f>IF(H17="In ein Paar Fällen",0.5,0)</f>
        <v>0</v>
      </c>
      <c r="W17" s="75">
        <f>IF(H17="Gar nicht",0,0)</f>
        <v>0</v>
      </c>
      <c r="X17" s="75"/>
      <c r="AG17" s="49" t="str">
        <f>IF(X17&gt;0.5,"Umgesetzt","Nicht umgesetzt")</f>
        <v>Nicht umgesetzt</v>
      </c>
    </row>
    <row r="18" spans="2:33" ht="40" customHeight="1" thickBot="1" x14ac:dyDescent="0.3">
      <c r="B18" s="325">
        <v>2</v>
      </c>
      <c r="C18" s="343" t="s">
        <v>649</v>
      </c>
      <c r="D18" s="343"/>
      <c r="E18" s="343"/>
      <c r="F18" s="361" t="s">
        <v>662</v>
      </c>
      <c r="G18" s="362"/>
      <c r="H18" s="365" t="s">
        <v>42</v>
      </c>
      <c r="I18" s="365"/>
      <c r="J18" s="351" t="s">
        <v>1153</v>
      </c>
      <c r="K18" s="352"/>
      <c r="L18" s="352"/>
      <c r="M18" s="352"/>
      <c r="N18" s="401"/>
      <c r="O18" s="401"/>
      <c r="P18" s="401"/>
      <c r="Q18" s="401"/>
      <c r="S18" s="49">
        <f t="shared" si="1"/>
        <v>0</v>
      </c>
      <c r="T18" s="49">
        <f t="shared" si="2"/>
        <v>0</v>
      </c>
      <c r="U18" s="49">
        <f>IF(H18="In den meisten Fällen",0.75,0)</f>
        <v>0</v>
      </c>
      <c r="V18" s="49">
        <f>IF(H18="In ein Paar Fällen",0.5,0)</f>
        <v>0</v>
      </c>
      <c r="W18" s="49">
        <f>IF(H18="Gar nicht",0,0)</f>
        <v>0</v>
      </c>
      <c r="X18" s="143">
        <f>IFERROR(SUM(T18:W20)/COUNTIF(H18:H20,"&lt;&gt;Nicht anwendbar"),"n.a.")</f>
        <v>0</v>
      </c>
      <c r="Y18" s="48">
        <f>IF(Y16=1,X18,0)</f>
        <v>0</v>
      </c>
      <c r="AG18" s="49" t="str">
        <f t="shared" si="0"/>
        <v>Nicht umgesetzt</v>
      </c>
    </row>
    <row r="19" spans="2:33" ht="40" customHeight="1" thickBot="1" x14ac:dyDescent="0.3">
      <c r="B19" s="323"/>
      <c r="C19" s="330" t="s">
        <v>651</v>
      </c>
      <c r="D19" s="330"/>
      <c r="E19" s="330"/>
      <c r="F19" s="307"/>
      <c r="G19" s="307"/>
      <c r="H19" s="366" t="s">
        <v>42</v>
      </c>
      <c r="I19" s="366"/>
      <c r="J19" s="286"/>
      <c r="K19" s="286"/>
      <c r="L19" s="286"/>
      <c r="M19" s="286"/>
      <c r="N19" s="339"/>
      <c r="O19" s="339"/>
      <c r="P19" s="339"/>
      <c r="Q19" s="339"/>
      <c r="S19" s="49">
        <f t="shared" si="1"/>
        <v>0</v>
      </c>
      <c r="T19" s="49">
        <f t="shared" si="2"/>
        <v>0</v>
      </c>
      <c r="U19" s="49">
        <f t="shared" ref="U19:U30" si="3">IF(H19="In den meisten Fällen",0.75,0)</f>
        <v>0</v>
      </c>
      <c r="V19" s="49">
        <f t="shared" ref="V19:V30" si="4">IF(H19="In ein Paar Fällen",0.5,0)</f>
        <v>0</v>
      </c>
      <c r="W19" s="49">
        <f t="shared" ref="W19:W30" si="5">IF(H19="Gar nicht",0,0)</f>
        <v>0</v>
      </c>
      <c r="X19" s="49"/>
      <c r="AG19" s="49" t="str">
        <f t="shared" si="0"/>
        <v>Nicht umgesetzt</v>
      </c>
    </row>
    <row r="20" spans="2:33" ht="40" customHeight="1" thickBot="1" x14ac:dyDescent="0.3">
      <c r="B20" s="326"/>
      <c r="C20" s="310" t="s">
        <v>650</v>
      </c>
      <c r="D20" s="310"/>
      <c r="E20" s="310"/>
      <c r="F20" s="308"/>
      <c r="G20" s="308"/>
      <c r="H20" s="340" t="s">
        <v>42</v>
      </c>
      <c r="I20" s="340"/>
      <c r="J20" s="275"/>
      <c r="K20" s="275"/>
      <c r="L20" s="275"/>
      <c r="M20" s="275"/>
      <c r="N20" s="339"/>
      <c r="O20" s="339"/>
      <c r="P20" s="339"/>
      <c r="Q20" s="339"/>
      <c r="S20" s="75">
        <f t="shared" si="1"/>
        <v>0</v>
      </c>
      <c r="T20" s="75">
        <f t="shared" si="2"/>
        <v>0</v>
      </c>
      <c r="U20" s="75">
        <f t="shared" si="3"/>
        <v>0</v>
      </c>
      <c r="V20" s="75">
        <f t="shared" si="4"/>
        <v>0</v>
      </c>
      <c r="W20" s="75">
        <f t="shared" si="5"/>
        <v>0</v>
      </c>
      <c r="X20" s="75"/>
      <c r="AG20" s="49" t="str">
        <f t="shared" si="0"/>
        <v>Nicht umgesetzt</v>
      </c>
    </row>
    <row r="21" spans="2:33" ht="40" customHeight="1" thickBot="1" x14ac:dyDescent="0.3">
      <c r="B21" s="325">
        <v>3</v>
      </c>
      <c r="C21" s="344" t="s">
        <v>654</v>
      </c>
      <c r="D21" s="345"/>
      <c r="E21" s="345"/>
      <c r="F21" s="370" t="s">
        <v>663</v>
      </c>
      <c r="G21" s="371"/>
      <c r="H21" s="365" t="s">
        <v>42</v>
      </c>
      <c r="I21" s="365"/>
      <c r="J21" s="357" t="s">
        <v>989</v>
      </c>
      <c r="K21" s="358"/>
      <c r="L21" s="358"/>
      <c r="M21" s="358"/>
      <c r="N21" s="401"/>
      <c r="O21" s="401"/>
      <c r="P21" s="401"/>
      <c r="Q21" s="401"/>
      <c r="S21" s="48">
        <f t="shared" si="1"/>
        <v>0</v>
      </c>
      <c r="T21" s="49">
        <f t="shared" si="2"/>
        <v>0</v>
      </c>
      <c r="U21" s="49">
        <f t="shared" si="3"/>
        <v>0</v>
      </c>
      <c r="V21" s="49">
        <f t="shared" si="4"/>
        <v>0</v>
      </c>
      <c r="W21" s="49">
        <f t="shared" si="5"/>
        <v>0</v>
      </c>
      <c r="X21" s="143">
        <f>IFERROR(SUM(T21:W23)/COUNTIF(H21:H23,"&lt;&gt;Nicht anwendbar"),"n.a.")</f>
        <v>0</v>
      </c>
      <c r="Y21" s="48">
        <f>IF(Y18=1,X21,0)</f>
        <v>0</v>
      </c>
    </row>
    <row r="22" spans="2:33" ht="40" customHeight="1" thickBot="1" x14ac:dyDescent="0.3">
      <c r="B22" s="323"/>
      <c r="C22" s="347" t="s">
        <v>652</v>
      </c>
      <c r="D22" s="348"/>
      <c r="E22" s="348"/>
      <c r="F22" s="337"/>
      <c r="G22" s="337"/>
      <c r="H22" s="366" t="s">
        <v>42</v>
      </c>
      <c r="I22" s="366"/>
      <c r="J22" s="282"/>
      <c r="K22" s="282"/>
      <c r="L22" s="282"/>
      <c r="M22" s="282"/>
      <c r="N22" s="339"/>
      <c r="O22" s="339"/>
      <c r="P22" s="339"/>
      <c r="Q22" s="339"/>
      <c r="S22" s="48">
        <f t="shared" si="1"/>
        <v>0</v>
      </c>
      <c r="T22" s="49">
        <f t="shared" si="2"/>
        <v>0</v>
      </c>
      <c r="U22" s="49">
        <f t="shared" si="3"/>
        <v>0</v>
      </c>
      <c r="V22" s="49">
        <f t="shared" si="4"/>
        <v>0</v>
      </c>
      <c r="W22" s="49">
        <f t="shared" si="5"/>
        <v>0</v>
      </c>
    </row>
    <row r="23" spans="2:33" ht="40" customHeight="1" thickBot="1" x14ac:dyDescent="0.3">
      <c r="B23" s="326"/>
      <c r="C23" s="368" t="s">
        <v>653</v>
      </c>
      <c r="D23" s="368"/>
      <c r="E23" s="368"/>
      <c r="F23" s="386"/>
      <c r="G23" s="386"/>
      <c r="H23" s="340" t="s">
        <v>42</v>
      </c>
      <c r="I23" s="340"/>
      <c r="J23" s="270"/>
      <c r="K23" s="270"/>
      <c r="L23" s="270"/>
      <c r="M23" s="270"/>
      <c r="N23" s="339"/>
      <c r="O23" s="339"/>
      <c r="P23" s="339"/>
      <c r="Q23" s="339"/>
      <c r="S23" s="75">
        <f t="shared" si="1"/>
        <v>0</v>
      </c>
      <c r="T23" s="75">
        <f t="shared" si="2"/>
        <v>0</v>
      </c>
      <c r="U23" s="75">
        <f t="shared" si="3"/>
        <v>0</v>
      </c>
      <c r="V23" s="75">
        <f t="shared" si="4"/>
        <v>0</v>
      </c>
      <c r="W23" s="75">
        <f t="shared" si="5"/>
        <v>0</v>
      </c>
      <c r="X23" s="75"/>
    </row>
    <row r="24" spans="2:33" ht="40" customHeight="1" thickBot="1" x14ac:dyDescent="0.3">
      <c r="B24" s="325">
        <v>4</v>
      </c>
      <c r="C24" s="343" t="s">
        <v>655</v>
      </c>
      <c r="D24" s="343"/>
      <c r="E24" s="343"/>
      <c r="F24" s="361" t="s">
        <v>811</v>
      </c>
      <c r="G24" s="362"/>
      <c r="H24" s="365" t="s">
        <v>42</v>
      </c>
      <c r="I24" s="365"/>
      <c r="J24" s="351" t="s">
        <v>990</v>
      </c>
      <c r="K24" s="352"/>
      <c r="L24" s="352"/>
      <c r="M24" s="352"/>
      <c r="N24" s="401"/>
      <c r="O24" s="401"/>
      <c r="P24" s="401"/>
      <c r="Q24" s="401"/>
      <c r="S24" s="49">
        <f t="shared" si="1"/>
        <v>0</v>
      </c>
      <c r="T24" s="49">
        <f t="shared" si="2"/>
        <v>0</v>
      </c>
      <c r="U24" s="49">
        <f t="shared" si="3"/>
        <v>0</v>
      </c>
      <c r="V24" s="49">
        <f t="shared" si="4"/>
        <v>0</v>
      </c>
      <c r="W24" s="49">
        <f t="shared" si="5"/>
        <v>0</v>
      </c>
      <c r="X24" s="49">
        <f>SUM(T24:W27)/4</f>
        <v>0</v>
      </c>
      <c r="Y24" s="48">
        <f>IF(Y21=1,X24,0)</f>
        <v>0</v>
      </c>
    </row>
    <row r="25" spans="2:33" ht="40" customHeight="1" thickBot="1" x14ac:dyDescent="0.3">
      <c r="B25" s="323"/>
      <c r="C25" s="330" t="s">
        <v>656</v>
      </c>
      <c r="D25" s="330"/>
      <c r="E25" s="330"/>
      <c r="F25" s="307"/>
      <c r="G25" s="307"/>
      <c r="H25" s="366" t="s">
        <v>42</v>
      </c>
      <c r="I25" s="366"/>
      <c r="J25" s="286"/>
      <c r="K25" s="286"/>
      <c r="L25" s="286"/>
      <c r="M25" s="286"/>
      <c r="N25" s="339"/>
      <c r="O25" s="339"/>
      <c r="P25" s="339"/>
      <c r="Q25" s="339"/>
      <c r="S25" s="49">
        <f t="shared" si="1"/>
        <v>0</v>
      </c>
      <c r="T25" s="49">
        <f t="shared" si="2"/>
        <v>0</v>
      </c>
      <c r="U25" s="49">
        <f t="shared" si="3"/>
        <v>0</v>
      </c>
      <c r="V25" s="49">
        <f t="shared" si="4"/>
        <v>0</v>
      </c>
      <c r="W25" s="49">
        <f t="shared" si="5"/>
        <v>0</v>
      </c>
      <c r="X25" s="49"/>
    </row>
    <row r="26" spans="2:33" ht="40" customHeight="1" thickBot="1" x14ac:dyDescent="0.3">
      <c r="B26" s="323"/>
      <c r="C26" s="330" t="s">
        <v>657</v>
      </c>
      <c r="D26" s="330"/>
      <c r="E26" s="330"/>
      <c r="F26" s="307"/>
      <c r="G26" s="307"/>
      <c r="H26" s="366" t="s">
        <v>42</v>
      </c>
      <c r="I26" s="366"/>
      <c r="J26" s="286"/>
      <c r="K26" s="286"/>
      <c r="L26" s="286"/>
      <c r="M26" s="286"/>
      <c r="N26" s="339"/>
      <c r="O26" s="339"/>
      <c r="P26" s="339"/>
      <c r="Q26" s="339"/>
      <c r="S26" s="49">
        <f t="shared" si="1"/>
        <v>0</v>
      </c>
      <c r="T26" s="49">
        <f t="shared" si="2"/>
        <v>0</v>
      </c>
      <c r="U26" s="49">
        <f t="shared" si="3"/>
        <v>0</v>
      </c>
      <c r="V26" s="49">
        <f t="shared" si="4"/>
        <v>0</v>
      </c>
      <c r="W26" s="49">
        <f t="shared" si="5"/>
        <v>0</v>
      </c>
      <c r="X26" s="49"/>
    </row>
    <row r="27" spans="2:33" ht="40" customHeight="1" thickBot="1" x14ac:dyDescent="0.3">
      <c r="B27" s="323"/>
      <c r="C27" s="350" t="s">
        <v>812</v>
      </c>
      <c r="D27" s="350"/>
      <c r="E27" s="350"/>
      <c r="F27" s="308"/>
      <c r="G27" s="308"/>
      <c r="H27" s="340" t="s">
        <v>42</v>
      </c>
      <c r="I27" s="340"/>
      <c r="J27" s="275"/>
      <c r="K27" s="275"/>
      <c r="L27" s="275"/>
      <c r="M27" s="275"/>
      <c r="N27" s="339"/>
      <c r="O27" s="339"/>
      <c r="P27" s="339"/>
      <c r="Q27" s="339"/>
      <c r="S27" s="149">
        <f t="shared" si="1"/>
        <v>0</v>
      </c>
      <c r="T27" s="149">
        <f t="shared" si="2"/>
        <v>0</v>
      </c>
      <c r="U27" s="149">
        <f t="shared" si="3"/>
        <v>0</v>
      </c>
      <c r="V27" s="149">
        <f t="shared" si="4"/>
        <v>0</v>
      </c>
      <c r="W27" s="149">
        <f t="shared" si="5"/>
        <v>0</v>
      </c>
      <c r="X27" s="149"/>
    </row>
    <row r="28" spans="2:33" ht="40" customHeight="1" thickBot="1" x14ac:dyDescent="0.3">
      <c r="B28" s="325">
        <v>5</v>
      </c>
      <c r="C28" s="343" t="s">
        <v>658</v>
      </c>
      <c r="D28" s="343"/>
      <c r="E28" s="343"/>
      <c r="F28" s="361" t="s">
        <v>664</v>
      </c>
      <c r="G28" s="362"/>
      <c r="H28" s="365" t="s">
        <v>42</v>
      </c>
      <c r="I28" s="365"/>
      <c r="J28" s="351" t="s">
        <v>991</v>
      </c>
      <c r="K28" s="352"/>
      <c r="L28" s="352"/>
      <c r="M28" s="352"/>
      <c r="N28" s="401"/>
      <c r="O28" s="401"/>
      <c r="P28" s="401"/>
      <c r="Q28" s="401"/>
      <c r="S28" s="157">
        <f t="shared" si="1"/>
        <v>0</v>
      </c>
      <c r="T28" s="157">
        <f t="shared" si="2"/>
        <v>0</v>
      </c>
      <c r="U28" s="157">
        <f t="shared" si="3"/>
        <v>0</v>
      </c>
      <c r="V28" s="157">
        <f t="shared" si="4"/>
        <v>0</v>
      </c>
      <c r="W28" s="157">
        <f t="shared" si="5"/>
        <v>0</v>
      </c>
      <c r="X28" s="143">
        <f>IFERROR(SUM(T28:W30)/COUNTIF(H28:H30,"&lt;&gt;Nicht anwendbar"),"n.a.")</f>
        <v>0</v>
      </c>
      <c r="Y28" s="48">
        <f>IF(Y24=1,X28,0)</f>
        <v>0</v>
      </c>
    </row>
    <row r="29" spans="2:33" ht="39" customHeight="1" thickBot="1" x14ac:dyDescent="0.3">
      <c r="B29" s="323"/>
      <c r="C29" s="347" t="s">
        <v>659</v>
      </c>
      <c r="D29" s="348"/>
      <c r="E29" s="348"/>
      <c r="F29" s="350"/>
      <c r="G29" s="307"/>
      <c r="H29" s="366" t="s">
        <v>42</v>
      </c>
      <c r="I29" s="366"/>
      <c r="J29" s="286"/>
      <c r="K29" s="286"/>
      <c r="L29" s="286"/>
      <c r="M29" s="286"/>
      <c r="N29" s="339"/>
      <c r="O29" s="339"/>
      <c r="P29" s="339"/>
      <c r="Q29" s="339"/>
      <c r="S29" s="48">
        <f t="shared" si="1"/>
        <v>0</v>
      </c>
      <c r="T29" s="49">
        <f t="shared" si="2"/>
        <v>0</v>
      </c>
      <c r="U29" s="49">
        <f t="shared" ref="U29" si="6">IF(H29="In den meisten Fällen",0.75,0)</f>
        <v>0</v>
      </c>
      <c r="V29" s="49">
        <f t="shared" ref="V29" si="7">IF(H29="In ein Paar Fällen",0.5,0)</f>
        <v>0</v>
      </c>
      <c r="W29" s="49">
        <f t="shared" ref="W29" si="8">IF(H29="Gar nicht",0,0)</f>
        <v>0</v>
      </c>
    </row>
    <row r="30" spans="2:33" ht="40" customHeight="1" thickBot="1" x14ac:dyDescent="0.3">
      <c r="B30" s="326"/>
      <c r="C30" s="310" t="s">
        <v>660</v>
      </c>
      <c r="D30" s="310"/>
      <c r="E30" s="310"/>
      <c r="F30" s="308"/>
      <c r="G30" s="308"/>
      <c r="H30" s="340" t="s">
        <v>42</v>
      </c>
      <c r="I30" s="340"/>
      <c r="J30" s="275"/>
      <c r="K30" s="275"/>
      <c r="L30" s="275"/>
      <c r="M30" s="275"/>
      <c r="N30" s="414"/>
      <c r="O30" s="414"/>
      <c r="P30" s="414"/>
      <c r="Q30" s="414"/>
      <c r="S30" s="149">
        <f t="shared" si="1"/>
        <v>0</v>
      </c>
      <c r="T30" s="149">
        <f t="shared" si="2"/>
        <v>0</v>
      </c>
      <c r="U30" s="149">
        <f t="shared" si="3"/>
        <v>0</v>
      </c>
      <c r="V30" s="149">
        <f t="shared" si="4"/>
        <v>0</v>
      </c>
      <c r="W30" s="149">
        <f t="shared" si="5"/>
        <v>0</v>
      </c>
      <c r="X30" s="149"/>
    </row>
  </sheetData>
  <sheetProtection formatCells="0"/>
  <protectedRanges>
    <protectedRange sqref="N31:Q32" name="Bereich1"/>
    <protectedRange sqref="N28:Q28 N24:Q24 N21:Q21 N18:Q18" name="Bereich1_1"/>
  </protectedRanges>
  <mergeCells count="72">
    <mergeCell ref="J21:M23"/>
    <mergeCell ref="J24:M27"/>
    <mergeCell ref="J28:M30"/>
    <mergeCell ref="B28:B30"/>
    <mergeCell ref="C28:E28"/>
    <mergeCell ref="F28:G30"/>
    <mergeCell ref="H28:I28"/>
    <mergeCell ref="C30:E30"/>
    <mergeCell ref="H30:I30"/>
    <mergeCell ref="C29:E29"/>
    <mergeCell ref="H29:I29"/>
    <mergeCell ref="B24:B27"/>
    <mergeCell ref="C24:E24"/>
    <mergeCell ref="F24:G27"/>
    <mergeCell ref="H24:I24"/>
    <mergeCell ref="C25:E25"/>
    <mergeCell ref="H20:I20"/>
    <mergeCell ref="H25:I25"/>
    <mergeCell ref="C26:E26"/>
    <mergeCell ref="H26:I26"/>
    <mergeCell ref="C27:E27"/>
    <mergeCell ref="H27:I27"/>
    <mergeCell ref="C23:E23"/>
    <mergeCell ref="H23:I23"/>
    <mergeCell ref="B21:B23"/>
    <mergeCell ref="C21:E21"/>
    <mergeCell ref="F21:G23"/>
    <mergeCell ref="H21:I21"/>
    <mergeCell ref="C22:E22"/>
    <mergeCell ref="H22:I22"/>
    <mergeCell ref="C10:M10"/>
    <mergeCell ref="C14:E14"/>
    <mergeCell ref="F14:G14"/>
    <mergeCell ref="H14:I14"/>
    <mergeCell ref="J14:M14"/>
    <mergeCell ref="B4:M4"/>
    <mergeCell ref="C6:G6"/>
    <mergeCell ref="C7:M7"/>
    <mergeCell ref="C8:M8"/>
    <mergeCell ref="C9:M9"/>
    <mergeCell ref="C17:E17"/>
    <mergeCell ref="H17:I17"/>
    <mergeCell ref="J16:M17"/>
    <mergeCell ref="J18:M20"/>
    <mergeCell ref="B15:M15"/>
    <mergeCell ref="B16:B17"/>
    <mergeCell ref="C16:E16"/>
    <mergeCell ref="F16:G17"/>
    <mergeCell ref="H16:I16"/>
    <mergeCell ref="B18:B20"/>
    <mergeCell ref="C18:E18"/>
    <mergeCell ref="F18:G20"/>
    <mergeCell ref="H18:I18"/>
    <mergeCell ref="C19:E19"/>
    <mergeCell ref="H19:I19"/>
    <mergeCell ref="C20:E20"/>
    <mergeCell ref="N14:Q14"/>
    <mergeCell ref="N16:Q16"/>
    <mergeCell ref="N17:Q17"/>
    <mergeCell ref="N18:Q18"/>
    <mergeCell ref="N19:Q19"/>
    <mergeCell ref="N20:Q20"/>
    <mergeCell ref="N21:Q21"/>
    <mergeCell ref="N22:Q22"/>
    <mergeCell ref="N23:Q23"/>
    <mergeCell ref="N24:Q24"/>
    <mergeCell ref="N30:Q30"/>
    <mergeCell ref="N25:Q25"/>
    <mergeCell ref="N26:Q26"/>
    <mergeCell ref="N27:Q27"/>
    <mergeCell ref="N28:Q28"/>
    <mergeCell ref="N29:Q29"/>
  </mergeCells>
  <conditionalFormatting sqref="H30:I30 H18:I28">
    <cfRule type="containsText" dxfId="20" priority="4" operator="containsText" text="Bitte auswählen">
      <formula>NOT(ISERROR(SEARCH("Bitte auswählen",H18)))</formula>
    </cfRule>
  </conditionalFormatting>
  <conditionalFormatting sqref="H16:I17">
    <cfRule type="containsText" dxfId="19" priority="3" operator="containsText" text="Bitte auswählen">
      <formula>NOT(ISERROR(SEARCH("Bitte auswählen",H16)))</formula>
    </cfRule>
  </conditionalFormatting>
  <conditionalFormatting sqref="H29:I29">
    <cfRule type="containsText" dxfId="18" priority="1" operator="containsText" text="Bitte auswählen">
      <formula>NOT(ISERROR(SEARCH("Bitte auswählen",H29)))</formula>
    </cfRule>
  </conditionalFormatting>
  <dataValidations xWindow="751" yWindow="405" count="2">
    <dataValidation allowBlank="1" showInputMessage="1" showErrorMessage="1" promptTitle="[+] Klicken" prompt="Hier können Sie sich erweiterte Informationen zu dem Prozess anzeigen lassen." sqref="A11" xr:uid="{7D10FA99-2B6C-4C6E-9587-25458464EDEE}"/>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CDB39834-C670-4497-92D8-6714321B0CCB}"/>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751" yWindow="405" count="1">
        <x14:dataValidation type="list" allowBlank="1" showInputMessage="1" showErrorMessage="1" xr:uid="{9005B0C3-302D-47ED-96FA-C7D73D88B018}">
          <x14:formula1>
            <xm:f>Data!$I$3:$I$8</xm:f>
          </x14:formula1>
          <xm:sqref>H16:I30</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CCD72-5737-482D-9AF1-930859949509}">
  <sheetPr>
    <tabColor theme="5"/>
    <pageSetUpPr fitToPage="1"/>
  </sheetPr>
  <dimension ref="B4:AG28"/>
  <sheetViews>
    <sheetView showGridLines="0" zoomScale="90" zoomScaleNormal="90" zoomScalePageLayoutView="85" workbookViewId="0"/>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68.54296875" style="48" hidden="1" customWidth="1" outlineLevel="1"/>
    <col min="7" max="7" width="26.453125" style="48" hidden="1" customWidth="1" outlineLevel="1"/>
    <col min="8" max="8" width="11.453125" style="48" collapsed="1"/>
    <col min="9" max="10" width="11.453125" style="48"/>
    <col min="11" max="11" width="13.26953125" style="48" customWidth="1"/>
    <col min="12" max="12" width="11.453125" style="48"/>
    <col min="13" max="13" width="30.26953125" style="48" customWidth="1"/>
    <col min="14" max="14" width="11.453125" style="48"/>
    <col min="15" max="15" width="13.26953125" style="48" customWidth="1"/>
    <col min="16" max="16" width="11.453125" style="48"/>
    <col min="17" max="17" width="24.81640625" style="48" customWidth="1"/>
    <col min="18" max="18" width="11.453125" style="49"/>
    <col min="19" max="24" width="11.453125" style="48" customWidth="1"/>
    <col min="25" max="25" width="14" style="48" customWidth="1"/>
    <col min="26" max="32" width="11.453125" style="48" customWidth="1"/>
    <col min="33" max="33" width="11.453125" style="48" hidden="1" customWidth="1"/>
    <col min="34" max="16384" width="11.453125" style="48"/>
  </cols>
  <sheetData>
    <row r="4" spans="2:33" ht="14" x14ac:dyDescent="0.3">
      <c r="B4" s="290" t="s">
        <v>39</v>
      </c>
      <c r="C4" s="290"/>
      <c r="D4" s="290"/>
      <c r="E4" s="290"/>
      <c r="F4" s="290"/>
      <c r="G4" s="290"/>
      <c r="H4" s="290"/>
      <c r="I4" s="290"/>
      <c r="J4" s="290"/>
      <c r="K4" s="290"/>
      <c r="L4" s="290"/>
      <c r="M4" s="290"/>
      <c r="N4" s="216"/>
      <c r="O4" s="216"/>
      <c r="P4" s="216"/>
      <c r="Q4" s="216"/>
    </row>
    <row r="5" spans="2:33" ht="9" customHeight="1" x14ac:dyDescent="0.25"/>
    <row r="6" spans="2:33" ht="32.25" customHeight="1" thickBot="1" x14ac:dyDescent="0.3">
      <c r="B6" s="77" t="s">
        <v>135</v>
      </c>
      <c r="C6" s="416" t="s">
        <v>177</v>
      </c>
      <c r="D6" s="416"/>
      <c r="E6" s="416"/>
      <c r="F6" s="416"/>
      <c r="G6" s="416"/>
      <c r="H6" s="416"/>
      <c r="I6" s="416"/>
      <c r="J6" s="53"/>
      <c r="K6" s="53" t="s">
        <v>36</v>
      </c>
      <c r="L6" s="55">
        <f>ROUNDDOWN(Z16/0.25,0)*0.25</f>
        <v>0</v>
      </c>
      <c r="M6" s="54" t="str">
        <f>IF(L6&lt;1,"Unvollständig",IF(L6&lt;2,"Initial",IF(L6&lt;3,"Gemanagt",IF(L6&lt;4,"Definiert",IF(L6&lt;5,"Quantitativ gemanagt",IF(L6&lt;6,"Optimiert","Ausstehend"))))))</f>
        <v>Unvollständig</v>
      </c>
      <c r="N6" s="53"/>
      <c r="O6" s="53"/>
      <c r="P6" s="55"/>
      <c r="Q6" s="54"/>
    </row>
    <row r="7" spans="2:33" ht="35.25" hidden="1" customHeight="1" outlineLevel="1" x14ac:dyDescent="0.25">
      <c r="B7" s="76" t="s">
        <v>211</v>
      </c>
      <c r="C7" s="294" t="s">
        <v>665</v>
      </c>
      <c r="D7" s="295"/>
      <c r="E7" s="295"/>
      <c r="F7" s="295"/>
      <c r="G7" s="295"/>
      <c r="H7" s="295"/>
      <c r="I7" s="295"/>
      <c r="J7" s="295"/>
      <c r="K7" s="295"/>
      <c r="L7" s="295"/>
      <c r="M7" s="296"/>
      <c r="N7" s="218"/>
      <c r="O7" s="218"/>
      <c r="P7" s="218"/>
      <c r="Q7" s="218"/>
    </row>
    <row r="8" spans="2:33" ht="70.5" hidden="1" customHeight="1" outlineLevel="1" x14ac:dyDescent="0.25">
      <c r="B8" s="51" t="s">
        <v>212</v>
      </c>
      <c r="C8" s="297" t="s">
        <v>676</v>
      </c>
      <c r="D8" s="298"/>
      <c r="E8" s="298"/>
      <c r="F8" s="298"/>
      <c r="G8" s="298"/>
      <c r="H8" s="298"/>
      <c r="I8" s="298"/>
      <c r="J8" s="298"/>
      <c r="K8" s="298"/>
      <c r="L8" s="298"/>
      <c r="M8" s="299"/>
      <c r="N8" s="217"/>
      <c r="O8" s="217"/>
      <c r="P8" s="217"/>
      <c r="Q8" s="217"/>
    </row>
    <row r="9" spans="2:33" ht="75" hidden="1" customHeight="1" outlineLevel="1" x14ac:dyDescent="0.25">
      <c r="B9" s="51" t="s">
        <v>30</v>
      </c>
      <c r="C9" s="300" t="s">
        <v>677</v>
      </c>
      <c r="D9" s="301"/>
      <c r="E9" s="301"/>
      <c r="F9" s="301"/>
      <c r="G9" s="301"/>
      <c r="H9" s="301"/>
      <c r="I9" s="301"/>
      <c r="J9" s="301"/>
      <c r="K9" s="301"/>
      <c r="L9" s="301"/>
      <c r="M9" s="302"/>
      <c r="N9" s="218"/>
      <c r="O9" s="218"/>
      <c r="P9" s="218"/>
      <c r="Q9" s="218"/>
    </row>
    <row r="10" spans="2:33" ht="65.25" hidden="1" customHeight="1" outlineLevel="1" x14ac:dyDescent="0.25">
      <c r="B10" s="51" t="s">
        <v>31</v>
      </c>
      <c r="C10" s="300" t="s">
        <v>678</v>
      </c>
      <c r="D10" s="301"/>
      <c r="E10" s="301"/>
      <c r="F10" s="301"/>
      <c r="G10" s="301"/>
      <c r="H10" s="301"/>
      <c r="I10" s="301"/>
      <c r="J10" s="301"/>
      <c r="K10" s="301"/>
      <c r="L10" s="301"/>
      <c r="M10" s="302"/>
      <c r="N10" s="218"/>
      <c r="O10" s="218"/>
      <c r="P10" s="218"/>
      <c r="Q10" s="218"/>
    </row>
    <row r="11" spans="2:33" collapsed="1" x14ac:dyDescent="0.25"/>
    <row r="12" spans="2:33" ht="13" x14ac:dyDescent="0.3">
      <c r="B12" s="50" t="s">
        <v>33</v>
      </c>
      <c r="C12" s="49"/>
    </row>
    <row r="13" spans="2:33" ht="6.75" customHeight="1" x14ac:dyDescent="0.25"/>
    <row r="14" spans="2:33" ht="21.75" customHeight="1" x14ac:dyDescent="0.25">
      <c r="B14" s="52" t="s">
        <v>34</v>
      </c>
      <c r="C14" s="353" t="s">
        <v>37</v>
      </c>
      <c r="D14" s="354"/>
      <c r="E14" s="355"/>
      <c r="F14" s="341" t="s">
        <v>67</v>
      </c>
      <c r="G14" s="356"/>
      <c r="H14" s="341" t="s">
        <v>3</v>
      </c>
      <c r="I14" s="356"/>
      <c r="J14" s="341" t="s">
        <v>886</v>
      </c>
      <c r="K14" s="342"/>
      <c r="L14" s="342"/>
      <c r="M14" s="342"/>
      <c r="N14" s="341" t="s">
        <v>38</v>
      </c>
      <c r="O14" s="342"/>
      <c r="P14" s="342"/>
      <c r="Q14" s="342"/>
      <c r="S14" s="149"/>
      <c r="T14" s="149" t="s">
        <v>35</v>
      </c>
      <c r="U14" s="149"/>
      <c r="V14" s="149"/>
      <c r="W14" s="149"/>
      <c r="X14" s="149"/>
      <c r="Y14" s="149" t="s">
        <v>45</v>
      </c>
      <c r="Z14" s="149" t="s">
        <v>44</v>
      </c>
    </row>
    <row r="15" spans="2:33" ht="1.5" customHeight="1" x14ac:dyDescent="0.3">
      <c r="B15" s="314"/>
      <c r="C15" s="314"/>
      <c r="D15" s="314"/>
      <c r="E15" s="314"/>
      <c r="F15" s="314"/>
      <c r="G15" s="314"/>
      <c r="H15" s="314"/>
      <c r="I15" s="314"/>
      <c r="J15" s="314"/>
      <c r="K15" s="314"/>
      <c r="L15" s="314"/>
      <c r="M15" s="314"/>
      <c r="N15" s="219"/>
      <c r="O15" s="219"/>
      <c r="P15" s="219"/>
      <c r="Q15" s="219"/>
    </row>
    <row r="16" spans="2:33" ht="40" customHeight="1" thickBot="1" x14ac:dyDescent="0.35">
      <c r="B16" s="182">
        <v>1</v>
      </c>
      <c r="C16" s="310" t="s">
        <v>1154</v>
      </c>
      <c r="D16" s="310"/>
      <c r="E16" s="310"/>
      <c r="F16" s="310" t="s">
        <v>679</v>
      </c>
      <c r="G16" s="310"/>
      <c r="H16" s="340" t="s">
        <v>42</v>
      </c>
      <c r="I16" s="340"/>
      <c r="J16" s="340" t="s">
        <v>29</v>
      </c>
      <c r="K16" s="340"/>
      <c r="L16" s="340"/>
      <c r="M16" s="340"/>
      <c r="N16" s="415"/>
      <c r="O16" s="415"/>
      <c r="P16" s="415"/>
      <c r="Q16" s="415"/>
      <c r="S16" s="74">
        <f>IF(H16="Nicht anwendbar","n.a.",0)</f>
        <v>0</v>
      </c>
      <c r="T16" s="75">
        <f>IF(H16="Vollständig",1,0)</f>
        <v>0</v>
      </c>
      <c r="U16" s="75">
        <f>IF(H16="In den meisten Fällen",0.75,0)</f>
        <v>0</v>
      </c>
      <c r="V16" s="75">
        <f>IF(H16="In ein Paar Fällen",0.5,0)</f>
        <v>0</v>
      </c>
      <c r="W16" s="75">
        <f>IF(H16="Gar nicht",0,0)</f>
        <v>0</v>
      </c>
      <c r="X16" s="75">
        <f>IF(S16&gt;0,"n.a.",SUM(S16:W16))</f>
        <v>0</v>
      </c>
      <c r="Y16" s="48">
        <f>X16</f>
        <v>0</v>
      </c>
      <c r="Z16" s="48">
        <f>IF(Y16&lt;&gt;"n.a.",SUM(Y16,Y17,Y19,Y22,Y26),NA())</f>
        <v>0</v>
      </c>
      <c r="AG16" s="49" t="str">
        <f t="shared" ref="AG16:AG18" si="0">IF(X16&gt;0.5,"Umgesetzt","Nicht umgesetzt")</f>
        <v>Nicht umgesetzt</v>
      </c>
    </row>
    <row r="17" spans="2:33" ht="40" customHeight="1" thickBot="1" x14ac:dyDescent="0.3">
      <c r="B17" s="325">
        <v>2</v>
      </c>
      <c r="C17" s="343" t="s">
        <v>813</v>
      </c>
      <c r="D17" s="343"/>
      <c r="E17" s="343"/>
      <c r="F17" s="361" t="s">
        <v>814</v>
      </c>
      <c r="G17" s="362"/>
      <c r="H17" s="365" t="s">
        <v>42</v>
      </c>
      <c r="I17" s="365"/>
      <c r="J17" s="352" t="s">
        <v>992</v>
      </c>
      <c r="K17" s="352"/>
      <c r="L17" s="352"/>
      <c r="M17" s="352"/>
      <c r="N17" s="339"/>
      <c r="O17" s="339"/>
      <c r="P17" s="339"/>
      <c r="Q17" s="339"/>
      <c r="S17" s="49">
        <f t="shared" ref="S17:S28" si="1">IF(H17="Nicht anwendbar","n.a.",0)</f>
        <v>0</v>
      </c>
      <c r="T17" s="49">
        <f t="shared" ref="T17:T28" si="2">IF(H17="Vollständig",1,0)</f>
        <v>0</v>
      </c>
      <c r="U17" s="49">
        <f>IF(H17="In den meisten Fällen",0.75,0)</f>
        <v>0</v>
      </c>
      <c r="V17" s="49">
        <f>IF(H17="In ein Paar Fällen",0.5,0)</f>
        <v>0</v>
      </c>
      <c r="W17" s="49">
        <f>IF(H17="Gar nicht",0,0)</f>
        <v>0</v>
      </c>
      <c r="X17" s="49">
        <f>IFERROR(SUM(T17:W18)/COUNTIF(H17:H18,"&lt;&gt;Nicht anwendbar"),"n.a.")</f>
        <v>0</v>
      </c>
      <c r="Y17" s="48">
        <f>IF(X16=1,X17,0)</f>
        <v>0</v>
      </c>
      <c r="AG17" s="49" t="str">
        <f t="shared" si="0"/>
        <v>Nicht umgesetzt</v>
      </c>
    </row>
    <row r="18" spans="2:33" ht="40" customHeight="1" thickBot="1" x14ac:dyDescent="0.3">
      <c r="B18" s="326"/>
      <c r="C18" s="310" t="s">
        <v>666</v>
      </c>
      <c r="D18" s="310"/>
      <c r="E18" s="310"/>
      <c r="F18" s="308"/>
      <c r="G18" s="308"/>
      <c r="H18" s="340" t="s">
        <v>42</v>
      </c>
      <c r="I18" s="340"/>
      <c r="J18" s="275"/>
      <c r="K18" s="275"/>
      <c r="L18" s="275"/>
      <c r="M18" s="275"/>
      <c r="N18" s="339"/>
      <c r="O18" s="339"/>
      <c r="P18" s="339"/>
      <c r="Q18" s="339"/>
      <c r="S18" s="75">
        <f t="shared" si="1"/>
        <v>0</v>
      </c>
      <c r="T18" s="75">
        <f t="shared" si="2"/>
        <v>0</v>
      </c>
      <c r="U18" s="75">
        <f t="shared" ref="U18:U28" si="3">IF(H18="In den meisten Fällen",0.75,0)</f>
        <v>0</v>
      </c>
      <c r="V18" s="75">
        <f t="shared" ref="V18:V28" si="4">IF(H18="In ein Paar Fällen",0.5,0)</f>
        <v>0</v>
      </c>
      <c r="W18" s="75">
        <f t="shared" ref="W18:W28" si="5">IF(H18="Gar nicht",0,0)</f>
        <v>0</v>
      </c>
      <c r="X18" s="75"/>
      <c r="AG18" s="49" t="str">
        <f t="shared" si="0"/>
        <v>Nicht umgesetzt</v>
      </c>
    </row>
    <row r="19" spans="2:33" ht="40" customHeight="1" thickBot="1" x14ac:dyDescent="0.3">
      <c r="B19" s="325">
        <v>3</v>
      </c>
      <c r="C19" s="344" t="s">
        <v>668</v>
      </c>
      <c r="D19" s="345"/>
      <c r="E19" s="345"/>
      <c r="F19" s="370" t="s">
        <v>680</v>
      </c>
      <c r="G19" s="371"/>
      <c r="H19" s="365" t="s">
        <v>42</v>
      </c>
      <c r="I19" s="365"/>
      <c r="J19" s="358" t="s">
        <v>993</v>
      </c>
      <c r="K19" s="358"/>
      <c r="L19" s="358"/>
      <c r="M19" s="358"/>
      <c r="N19" s="401"/>
      <c r="O19" s="401"/>
      <c r="P19" s="401"/>
      <c r="Q19" s="401"/>
      <c r="S19" s="48">
        <f t="shared" si="1"/>
        <v>0</v>
      </c>
      <c r="T19" s="49">
        <f t="shared" si="2"/>
        <v>0</v>
      </c>
      <c r="U19" s="49">
        <f t="shared" si="3"/>
        <v>0</v>
      </c>
      <c r="V19" s="49">
        <f t="shared" si="4"/>
        <v>0</v>
      </c>
      <c r="W19" s="49">
        <f t="shared" si="5"/>
        <v>0</v>
      </c>
      <c r="X19" s="143">
        <f>IFERROR(SUM(T19:W21)/COUNTIF(H19:H21,"&lt;&gt;Nicht anwendbar"),"n.a.")</f>
        <v>0</v>
      </c>
      <c r="Y19" s="48">
        <f>IF(Y17=1,X19,0)</f>
        <v>0</v>
      </c>
    </row>
    <row r="20" spans="2:33" ht="40" customHeight="1" thickBot="1" x14ac:dyDescent="0.3">
      <c r="B20" s="323"/>
      <c r="C20" s="347" t="s">
        <v>815</v>
      </c>
      <c r="D20" s="348"/>
      <c r="E20" s="348"/>
      <c r="F20" s="337"/>
      <c r="G20" s="337"/>
      <c r="H20" s="366" t="s">
        <v>42</v>
      </c>
      <c r="I20" s="366"/>
      <c r="J20" s="282"/>
      <c r="K20" s="282"/>
      <c r="L20" s="282"/>
      <c r="M20" s="282"/>
      <c r="N20" s="339"/>
      <c r="O20" s="339"/>
      <c r="P20" s="339"/>
      <c r="Q20" s="339"/>
      <c r="S20" s="48">
        <f t="shared" si="1"/>
        <v>0</v>
      </c>
      <c r="T20" s="49">
        <f t="shared" si="2"/>
        <v>0</v>
      </c>
      <c r="U20" s="49">
        <f t="shared" si="3"/>
        <v>0</v>
      </c>
      <c r="V20" s="49">
        <f t="shared" si="4"/>
        <v>0</v>
      </c>
      <c r="W20" s="49">
        <f t="shared" si="5"/>
        <v>0</v>
      </c>
    </row>
    <row r="21" spans="2:33" ht="40" customHeight="1" thickBot="1" x14ac:dyDescent="0.3">
      <c r="B21" s="326"/>
      <c r="C21" s="368" t="s">
        <v>667</v>
      </c>
      <c r="D21" s="368"/>
      <c r="E21" s="368"/>
      <c r="F21" s="386"/>
      <c r="G21" s="386"/>
      <c r="H21" s="340" t="s">
        <v>42</v>
      </c>
      <c r="I21" s="340"/>
      <c r="J21" s="270"/>
      <c r="K21" s="270"/>
      <c r="L21" s="270"/>
      <c r="M21" s="270"/>
      <c r="N21" s="339"/>
      <c r="O21" s="339"/>
      <c r="P21" s="339"/>
      <c r="Q21" s="339"/>
      <c r="S21" s="75">
        <f t="shared" si="1"/>
        <v>0</v>
      </c>
      <c r="T21" s="75">
        <f t="shared" si="2"/>
        <v>0</v>
      </c>
      <c r="U21" s="75">
        <f t="shared" si="3"/>
        <v>0</v>
      </c>
      <c r="V21" s="75">
        <f t="shared" si="4"/>
        <v>0</v>
      </c>
      <c r="W21" s="75">
        <f t="shared" si="5"/>
        <v>0</v>
      </c>
      <c r="X21" s="75"/>
    </row>
    <row r="22" spans="2:33" ht="40" customHeight="1" thickBot="1" x14ac:dyDescent="0.3">
      <c r="B22" s="325">
        <v>4</v>
      </c>
      <c r="C22" s="343" t="s">
        <v>669</v>
      </c>
      <c r="D22" s="343"/>
      <c r="E22" s="343"/>
      <c r="F22" s="361" t="s">
        <v>681</v>
      </c>
      <c r="G22" s="362"/>
      <c r="H22" s="365" t="s">
        <v>42</v>
      </c>
      <c r="I22" s="365"/>
      <c r="J22" s="351" t="s">
        <v>994</v>
      </c>
      <c r="K22" s="352"/>
      <c r="L22" s="352"/>
      <c r="M22" s="352"/>
      <c r="N22" s="401"/>
      <c r="O22" s="401"/>
      <c r="P22" s="401"/>
      <c r="Q22" s="401"/>
      <c r="S22" s="49">
        <f t="shared" si="1"/>
        <v>0</v>
      </c>
      <c r="T22" s="49">
        <f t="shared" si="2"/>
        <v>0</v>
      </c>
      <c r="U22" s="49">
        <f t="shared" si="3"/>
        <v>0</v>
      </c>
      <c r="V22" s="49">
        <f t="shared" si="4"/>
        <v>0</v>
      </c>
      <c r="W22" s="49">
        <f t="shared" si="5"/>
        <v>0</v>
      </c>
      <c r="X22" s="143">
        <f>IFERROR(SUM(T22:W25)/COUNTIF(H22:H25,"&lt;&gt;Nicht anwendbar"),"n.a.")</f>
        <v>0</v>
      </c>
      <c r="Y22" s="48">
        <f>IF(Y19=1,X22,0)</f>
        <v>0</v>
      </c>
    </row>
    <row r="23" spans="2:33" ht="40" customHeight="1" thickBot="1" x14ac:dyDescent="0.3">
      <c r="B23" s="323"/>
      <c r="C23" s="347" t="s">
        <v>675</v>
      </c>
      <c r="D23" s="348"/>
      <c r="E23" s="348"/>
      <c r="F23" s="350"/>
      <c r="G23" s="307"/>
      <c r="H23" s="366" t="s">
        <v>42</v>
      </c>
      <c r="I23" s="366"/>
      <c r="J23" s="286"/>
      <c r="K23" s="286"/>
      <c r="L23" s="286"/>
      <c r="M23" s="286"/>
      <c r="N23" s="339"/>
      <c r="O23" s="339"/>
      <c r="P23" s="339"/>
      <c r="Q23" s="339"/>
      <c r="S23" s="48">
        <f t="shared" si="1"/>
        <v>0</v>
      </c>
      <c r="T23" s="49">
        <f t="shared" si="2"/>
        <v>0</v>
      </c>
      <c r="U23" s="49">
        <f t="shared" ref="U23" si="6">IF(H23="In den meisten Fällen",0.75,0)</f>
        <v>0</v>
      </c>
      <c r="V23" s="49">
        <f t="shared" ref="V23" si="7">IF(H23="In ein Paar Fällen",0.5,0)</f>
        <v>0</v>
      </c>
      <c r="W23" s="49">
        <f t="shared" ref="W23" si="8">IF(H23="Gar nicht",0,0)</f>
        <v>0</v>
      </c>
    </row>
    <row r="24" spans="2:33" ht="40" customHeight="1" thickBot="1" x14ac:dyDescent="0.3">
      <c r="B24" s="323"/>
      <c r="C24" s="330" t="s">
        <v>670</v>
      </c>
      <c r="D24" s="330"/>
      <c r="E24" s="330"/>
      <c r="F24" s="307"/>
      <c r="G24" s="307"/>
      <c r="H24" s="366" t="s">
        <v>42</v>
      </c>
      <c r="I24" s="366"/>
      <c r="J24" s="286"/>
      <c r="K24" s="286"/>
      <c r="L24" s="286"/>
      <c r="M24" s="286"/>
      <c r="N24" s="339"/>
      <c r="O24" s="339"/>
      <c r="P24" s="339"/>
      <c r="Q24" s="339"/>
      <c r="S24" s="49">
        <f t="shared" si="1"/>
        <v>0</v>
      </c>
      <c r="T24" s="49">
        <f t="shared" si="2"/>
        <v>0</v>
      </c>
      <c r="U24" s="49">
        <f t="shared" si="3"/>
        <v>0</v>
      </c>
      <c r="V24" s="49">
        <f t="shared" si="4"/>
        <v>0</v>
      </c>
      <c r="W24" s="49">
        <f t="shared" si="5"/>
        <v>0</v>
      </c>
      <c r="X24" s="49"/>
    </row>
    <row r="25" spans="2:33" ht="40" customHeight="1" thickBot="1" x14ac:dyDescent="0.3">
      <c r="B25" s="323"/>
      <c r="C25" s="350" t="s">
        <v>671</v>
      </c>
      <c r="D25" s="350"/>
      <c r="E25" s="350"/>
      <c r="F25" s="308"/>
      <c r="G25" s="308"/>
      <c r="H25" s="340" t="s">
        <v>42</v>
      </c>
      <c r="I25" s="340"/>
      <c r="J25" s="275"/>
      <c r="K25" s="275"/>
      <c r="L25" s="275"/>
      <c r="M25" s="275"/>
      <c r="N25" s="339"/>
      <c r="O25" s="339"/>
      <c r="P25" s="339"/>
      <c r="Q25" s="339"/>
      <c r="S25" s="149">
        <f t="shared" si="1"/>
        <v>0</v>
      </c>
      <c r="T25" s="149">
        <f t="shared" si="2"/>
        <v>0</v>
      </c>
      <c r="U25" s="149">
        <f t="shared" si="3"/>
        <v>0</v>
      </c>
      <c r="V25" s="149">
        <f t="shared" si="4"/>
        <v>0</v>
      </c>
      <c r="W25" s="149">
        <f t="shared" si="5"/>
        <v>0</v>
      </c>
      <c r="X25" s="149"/>
    </row>
    <row r="26" spans="2:33" ht="40" customHeight="1" thickBot="1" x14ac:dyDescent="0.3">
      <c r="B26" s="325">
        <v>5</v>
      </c>
      <c r="C26" s="343" t="s">
        <v>672</v>
      </c>
      <c r="D26" s="343"/>
      <c r="E26" s="343"/>
      <c r="F26" s="361" t="s">
        <v>682</v>
      </c>
      <c r="G26" s="362"/>
      <c r="H26" s="365" t="s">
        <v>42</v>
      </c>
      <c r="I26" s="365"/>
      <c r="J26" s="351" t="s">
        <v>995</v>
      </c>
      <c r="K26" s="352"/>
      <c r="L26" s="352"/>
      <c r="M26" s="352"/>
      <c r="N26" s="401"/>
      <c r="O26" s="401"/>
      <c r="P26" s="401"/>
      <c r="Q26" s="401"/>
      <c r="S26" s="157">
        <f t="shared" si="1"/>
        <v>0</v>
      </c>
      <c r="T26" s="157">
        <f t="shared" si="2"/>
        <v>0</v>
      </c>
      <c r="U26" s="157">
        <f t="shared" si="3"/>
        <v>0</v>
      </c>
      <c r="V26" s="157">
        <f t="shared" si="4"/>
        <v>0</v>
      </c>
      <c r="W26" s="157">
        <f t="shared" si="5"/>
        <v>0</v>
      </c>
      <c r="X26" s="143">
        <f>IFERROR(SUM(T26:W28)/COUNTIF(H26:H28,"&lt;&gt;Nicht anwendbar"),"n.a.")</f>
        <v>0</v>
      </c>
      <c r="Y26" s="48">
        <f>IF(Y22=1,X26,0)</f>
        <v>0</v>
      </c>
    </row>
    <row r="27" spans="2:33" ht="40" customHeight="1" thickBot="1" x14ac:dyDescent="0.3">
      <c r="B27" s="323"/>
      <c r="C27" s="330" t="s">
        <v>673</v>
      </c>
      <c r="D27" s="330"/>
      <c r="E27" s="330"/>
      <c r="F27" s="350"/>
      <c r="G27" s="307"/>
      <c r="H27" s="366" t="s">
        <v>42</v>
      </c>
      <c r="I27" s="366"/>
      <c r="J27" s="286"/>
      <c r="K27" s="286"/>
      <c r="L27" s="286"/>
      <c r="M27" s="286"/>
      <c r="N27" s="339"/>
      <c r="O27" s="339"/>
      <c r="P27" s="339"/>
      <c r="Q27" s="339"/>
      <c r="S27" s="49">
        <f t="shared" si="1"/>
        <v>0</v>
      </c>
      <c r="T27" s="49">
        <f t="shared" si="2"/>
        <v>0</v>
      </c>
      <c r="U27" s="49">
        <f t="shared" ref="U27" si="9">IF(H27="In den meisten Fällen",0.75,0)</f>
        <v>0</v>
      </c>
      <c r="V27" s="49">
        <f t="shared" ref="V27" si="10">IF(H27="In ein Paar Fällen",0.5,0)</f>
        <v>0</v>
      </c>
      <c r="W27" s="49">
        <f t="shared" ref="W27" si="11">IF(H27="Gar nicht",0,0)</f>
        <v>0</v>
      </c>
      <c r="X27" s="49"/>
    </row>
    <row r="28" spans="2:33" ht="40" customHeight="1" thickBot="1" x14ac:dyDescent="0.3">
      <c r="B28" s="326"/>
      <c r="C28" s="310" t="s">
        <v>674</v>
      </c>
      <c r="D28" s="310"/>
      <c r="E28" s="310"/>
      <c r="F28" s="308"/>
      <c r="G28" s="308"/>
      <c r="H28" s="340" t="s">
        <v>42</v>
      </c>
      <c r="I28" s="340"/>
      <c r="J28" s="275"/>
      <c r="K28" s="275"/>
      <c r="L28" s="275"/>
      <c r="M28" s="275"/>
      <c r="N28" s="414"/>
      <c r="O28" s="414"/>
      <c r="P28" s="414"/>
      <c r="Q28" s="414"/>
      <c r="S28" s="149">
        <f t="shared" si="1"/>
        <v>0</v>
      </c>
      <c r="T28" s="149">
        <f t="shared" si="2"/>
        <v>0</v>
      </c>
      <c r="U28" s="149">
        <f t="shared" si="3"/>
        <v>0</v>
      </c>
      <c r="V28" s="149">
        <f t="shared" si="4"/>
        <v>0</v>
      </c>
      <c r="W28" s="149">
        <f t="shared" si="5"/>
        <v>0</v>
      </c>
      <c r="X28" s="149"/>
    </row>
  </sheetData>
  <sheetProtection formatCells="0"/>
  <protectedRanges>
    <protectedRange sqref="N31:Q32" name="Bereich1"/>
    <protectedRange sqref="N19:Q19 N22:Q22 N26:Q26" name="Bereich1_1"/>
  </protectedRanges>
  <mergeCells count="65">
    <mergeCell ref="B22:B25"/>
    <mergeCell ref="C22:E22"/>
    <mergeCell ref="F22:G25"/>
    <mergeCell ref="H22:I22"/>
    <mergeCell ref="B26:B28"/>
    <mergeCell ref="C26:E26"/>
    <mergeCell ref="F26:G28"/>
    <mergeCell ref="H26:I26"/>
    <mergeCell ref="C23:E23"/>
    <mergeCell ref="H23:I23"/>
    <mergeCell ref="C28:E28"/>
    <mergeCell ref="H28:I28"/>
    <mergeCell ref="C25:E25"/>
    <mergeCell ref="H25:I25"/>
    <mergeCell ref="C27:E27"/>
    <mergeCell ref="H27:I27"/>
    <mergeCell ref="B19:B21"/>
    <mergeCell ref="C19:E19"/>
    <mergeCell ref="F19:G21"/>
    <mergeCell ref="H19:I19"/>
    <mergeCell ref="C20:E20"/>
    <mergeCell ref="H20:I20"/>
    <mergeCell ref="C21:E21"/>
    <mergeCell ref="H21:I21"/>
    <mergeCell ref="C24:E24"/>
    <mergeCell ref="H24:I24"/>
    <mergeCell ref="J17:M18"/>
    <mergeCell ref="J22:M25"/>
    <mergeCell ref="J26:M28"/>
    <mergeCell ref="J19:M21"/>
    <mergeCell ref="J16:M16"/>
    <mergeCell ref="F17:G18"/>
    <mergeCell ref="H17:I17"/>
    <mergeCell ref="B17:B18"/>
    <mergeCell ref="C17:E17"/>
    <mergeCell ref="C16:E16"/>
    <mergeCell ref="F16:G16"/>
    <mergeCell ref="H16:I16"/>
    <mergeCell ref="C18:E18"/>
    <mergeCell ref="H18:I18"/>
    <mergeCell ref="B15:M15"/>
    <mergeCell ref="B4:M4"/>
    <mergeCell ref="C7:M7"/>
    <mergeCell ref="C8:M8"/>
    <mergeCell ref="C9:M9"/>
    <mergeCell ref="C10:M10"/>
    <mergeCell ref="C14:E14"/>
    <mergeCell ref="F14:G14"/>
    <mergeCell ref="H14:I14"/>
    <mergeCell ref="J14:M14"/>
    <mergeCell ref="C6:I6"/>
    <mergeCell ref="N14:Q14"/>
    <mergeCell ref="N16:Q16"/>
    <mergeCell ref="N17:Q17"/>
    <mergeCell ref="N18:Q18"/>
    <mergeCell ref="N19:Q19"/>
    <mergeCell ref="N25:Q25"/>
    <mergeCell ref="N26:Q26"/>
    <mergeCell ref="N27:Q27"/>
    <mergeCell ref="N28:Q28"/>
    <mergeCell ref="N20:Q20"/>
    <mergeCell ref="N21:Q21"/>
    <mergeCell ref="N22:Q22"/>
    <mergeCell ref="N23:Q23"/>
    <mergeCell ref="N24:Q24"/>
  </mergeCells>
  <conditionalFormatting sqref="H28:I28 H24:I26 H16:I22">
    <cfRule type="containsText" dxfId="17" priority="3" operator="containsText" text="Bitte auswählen">
      <formula>NOT(ISERROR(SEARCH("Bitte auswählen",H16)))</formula>
    </cfRule>
  </conditionalFormatting>
  <conditionalFormatting sqref="H27:I27">
    <cfRule type="containsText" dxfId="16" priority="2" operator="containsText" text="Bitte auswählen">
      <formula>NOT(ISERROR(SEARCH("Bitte auswählen",H27)))</formula>
    </cfRule>
  </conditionalFormatting>
  <conditionalFormatting sqref="H23:I23">
    <cfRule type="containsText" dxfId="15" priority="1" operator="containsText" text="Bitte auswählen">
      <formula>NOT(ISERROR(SEARCH("Bitte auswählen",H23)))</formula>
    </cfRule>
  </conditionalFormatting>
  <dataValidations xWindow="781" yWindow="420" count="2">
    <dataValidation allowBlank="1" showInputMessage="1" showErrorMessage="1" promptTitle="[+] Klicken" prompt="Hier können Sie sich erweiterte Informationen zu dem Prozess anzeigen lassen." sqref="A11" xr:uid="{01722D57-5560-4EA1-AF30-888CE980FB31}"/>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556ADAF9-8D54-42CE-AB25-6E0B7E1814BD}"/>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781" yWindow="420" count="1">
        <x14:dataValidation type="list" allowBlank="1" showInputMessage="1" showErrorMessage="1" xr:uid="{D3B159BC-283F-48F1-8F59-8B859C29200F}">
          <x14:formula1>
            <xm:f>Data!$I$3:$I$8</xm:f>
          </x14:formula1>
          <xm:sqref>H16:I28</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2B31F-3A4C-4BBD-A7D8-2F2AC542EAFF}">
  <sheetPr>
    <tabColor theme="5"/>
    <pageSetUpPr fitToPage="1"/>
  </sheetPr>
  <dimension ref="B4:AG27"/>
  <sheetViews>
    <sheetView showGridLines="0" zoomScale="90" zoomScaleNormal="90" zoomScalePageLayoutView="85" workbookViewId="0"/>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68.54296875" style="48" hidden="1" customWidth="1" outlineLevel="1"/>
    <col min="7" max="7" width="26.453125" style="48" hidden="1" customWidth="1" outlineLevel="1"/>
    <col min="8" max="8" width="11.453125" style="48" collapsed="1"/>
    <col min="9" max="10" width="11.453125" style="48"/>
    <col min="11" max="11" width="13.26953125" style="48" customWidth="1"/>
    <col min="12" max="12" width="11.453125" style="48"/>
    <col min="13" max="13" width="35.81640625" style="48" customWidth="1"/>
    <col min="14" max="14" width="11.453125" style="48"/>
    <col min="15" max="15" width="13.26953125" style="48" customWidth="1"/>
    <col min="16" max="16" width="11.453125" style="48"/>
    <col min="17" max="17" width="24.81640625" style="48" customWidth="1"/>
    <col min="18" max="18" width="11.453125" style="49"/>
    <col min="19" max="24" width="11.453125" style="48" customWidth="1"/>
    <col min="25" max="25" width="14" style="48" customWidth="1"/>
    <col min="26" max="32" width="11.453125" style="48" customWidth="1"/>
    <col min="33" max="33" width="11.453125" style="48" hidden="1" customWidth="1"/>
    <col min="34" max="16384" width="11.453125" style="48"/>
  </cols>
  <sheetData>
    <row r="4" spans="2:33" ht="14" x14ac:dyDescent="0.3">
      <c r="B4" s="290" t="s">
        <v>39</v>
      </c>
      <c r="C4" s="290"/>
      <c r="D4" s="290"/>
      <c r="E4" s="290"/>
      <c r="F4" s="290"/>
      <c r="G4" s="290"/>
      <c r="H4" s="290"/>
      <c r="I4" s="290"/>
      <c r="J4" s="290"/>
      <c r="K4" s="290"/>
      <c r="L4" s="290"/>
      <c r="M4" s="290"/>
      <c r="N4" s="216"/>
      <c r="O4" s="216"/>
      <c r="P4" s="216"/>
      <c r="Q4" s="216"/>
    </row>
    <row r="5" spans="2:33" ht="9" customHeight="1" x14ac:dyDescent="0.25"/>
    <row r="6" spans="2:33" ht="32.25" customHeight="1" thickBot="1" x14ac:dyDescent="0.3">
      <c r="B6" s="77" t="s">
        <v>149</v>
      </c>
      <c r="C6" s="416" t="s">
        <v>178</v>
      </c>
      <c r="D6" s="416"/>
      <c r="E6" s="416"/>
      <c r="F6" s="416"/>
      <c r="G6" s="416"/>
      <c r="H6" s="53"/>
      <c r="I6" s="53"/>
      <c r="J6" s="53"/>
      <c r="K6" s="53" t="s">
        <v>36</v>
      </c>
      <c r="L6" s="55">
        <f>ROUNDDOWN(Z16/0.25,0)*0.25</f>
        <v>0</v>
      </c>
      <c r="M6" s="54" t="str">
        <f>IF(L6&lt;1,"Unvollständig",IF(L6&lt;2,"Initial",IF(L6&lt;3,"Gemanagt",IF(L6&lt;4,"Definiert",IF(L6&lt;5,"Quantitativ gemanagt",IF(L6&lt;6,"Optimiert","Ausstehend"))))))</f>
        <v>Unvollständig</v>
      </c>
      <c r="N6" s="53"/>
      <c r="O6" s="53"/>
      <c r="P6" s="55"/>
      <c r="Q6" s="54"/>
    </row>
    <row r="7" spans="2:33" ht="35.25" hidden="1" customHeight="1" outlineLevel="1" x14ac:dyDescent="0.25">
      <c r="B7" s="76" t="s">
        <v>211</v>
      </c>
      <c r="C7" s="294" t="s">
        <v>683</v>
      </c>
      <c r="D7" s="295"/>
      <c r="E7" s="295"/>
      <c r="F7" s="295"/>
      <c r="G7" s="295"/>
      <c r="H7" s="295"/>
      <c r="I7" s="295"/>
      <c r="J7" s="295"/>
      <c r="K7" s="295"/>
      <c r="L7" s="295"/>
      <c r="M7" s="296"/>
      <c r="N7" s="218"/>
      <c r="O7" s="218"/>
      <c r="P7" s="218"/>
      <c r="Q7" s="218"/>
    </row>
    <row r="8" spans="2:33" ht="70.5" hidden="1" customHeight="1" outlineLevel="1" x14ac:dyDescent="0.25">
      <c r="B8" s="51" t="s">
        <v>212</v>
      </c>
      <c r="C8" s="297" t="s">
        <v>692</v>
      </c>
      <c r="D8" s="298"/>
      <c r="E8" s="298"/>
      <c r="F8" s="298"/>
      <c r="G8" s="298"/>
      <c r="H8" s="298"/>
      <c r="I8" s="298"/>
      <c r="J8" s="298"/>
      <c r="K8" s="298"/>
      <c r="L8" s="298"/>
      <c r="M8" s="299"/>
      <c r="N8" s="217"/>
      <c r="O8" s="217"/>
      <c r="P8" s="217"/>
      <c r="Q8" s="217"/>
    </row>
    <row r="9" spans="2:33" ht="75" hidden="1" customHeight="1" outlineLevel="1" x14ac:dyDescent="0.25">
      <c r="B9" s="51" t="s">
        <v>30</v>
      </c>
      <c r="C9" s="300" t="s">
        <v>693</v>
      </c>
      <c r="D9" s="301"/>
      <c r="E9" s="301"/>
      <c r="F9" s="301"/>
      <c r="G9" s="301"/>
      <c r="H9" s="301"/>
      <c r="I9" s="301"/>
      <c r="J9" s="301"/>
      <c r="K9" s="301"/>
      <c r="L9" s="301"/>
      <c r="M9" s="302"/>
      <c r="N9" s="218"/>
      <c r="O9" s="218"/>
      <c r="P9" s="218"/>
      <c r="Q9" s="218"/>
    </row>
    <row r="10" spans="2:33" ht="65.25" hidden="1" customHeight="1" outlineLevel="1" x14ac:dyDescent="0.25">
      <c r="B10" s="51" t="s">
        <v>31</v>
      </c>
      <c r="C10" s="300" t="s">
        <v>694</v>
      </c>
      <c r="D10" s="301"/>
      <c r="E10" s="301"/>
      <c r="F10" s="301"/>
      <c r="G10" s="301"/>
      <c r="H10" s="301"/>
      <c r="I10" s="301"/>
      <c r="J10" s="301"/>
      <c r="K10" s="301"/>
      <c r="L10" s="301"/>
      <c r="M10" s="302"/>
      <c r="N10" s="218"/>
      <c r="O10" s="218"/>
      <c r="P10" s="218"/>
      <c r="Q10" s="218"/>
    </row>
    <row r="11" spans="2:33" collapsed="1" x14ac:dyDescent="0.25"/>
    <row r="12" spans="2:33" ht="13" x14ac:dyDescent="0.3">
      <c r="B12" s="50" t="s">
        <v>33</v>
      </c>
      <c r="C12" s="49"/>
    </row>
    <row r="13" spans="2:33" ht="6.75" customHeight="1" x14ac:dyDescent="0.25"/>
    <row r="14" spans="2:33" ht="21.75" customHeight="1" x14ac:dyDescent="0.25">
      <c r="B14" s="52" t="s">
        <v>34</v>
      </c>
      <c r="C14" s="353" t="s">
        <v>37</v>
      </c>
      <c r="D14" s="354"/>
      <c r="E14" s="355"/>
      <c r="F14" s="341" t="s">
        <v>67</v>
      </c>
      <c r="G14" s="356"/>
      <c r="H14" s="341" t="s">
        <v>3</v>
      </c>
      <c r="I14" s="356"/>
      <c r="J14" s="341" t="s">
        <v>886</v>
      </c>
      <c r="K14" s="342"/>
      <c r="L14" s="342"/>
      <c r="M14" s="342"/>
      <c r="N14" s="341" t="s">
        <v>38</v>
      </c>
      <c r="O14" s="342"/>
      <c r="P14" s="342"/>
      <c r="Q14" s="342"/>
      <c r="S14" s="149"/>
      <c r="T14" s="149" t="s">
        <v>35</v>
      </c>
      <c r="U14" s="149"/>
      <c r="V14" s="149"/>
      <c r="W14" s="149"/>
      <c r="X14" s="149"/>
      <c r="Y14" s="149" t="s">
        <v>45</v>
      </c>
      <c r="Z14" s="149" t="s">
        <v>44</v>
      </c>
    </row>
    <row r="15" spans="2:33" ht="1.5" customHeight="1" thickBot="1" x14ac:dyDescent="0.35">
      <c r="B15" s="314"/>
      <c r="C15" s="314"/>
      <c r="D15" s="314"/>
      <c r="E15" s="314"/>
      <c r="F15" s="314"/>
      <c r="G15" s="314"/>
      <c r="H15" s="314"/>
      <c r="I15" s="314"/>
      <c r="J15" s="314"/>
      <c r="K15" s="314"/>
      <c r="L15" s="314"/>
      <c r="M15" s="314"/>
      <c r="N15" s="219"/>
      <c r="O15" s="219"/>
      <c r="P15" s="219"/>
      <c r="Q15" s="219"/>
    </row>
    <row r="16" spans="2:33" ht="40" customHeight="1" thickBot="1" x14ac:dyDescent="0.35">
      <c r="B16" s="323">
        <v>1</v>
      </c>
      <c r="C16" s="350" t="s">
        <v>1155</v>
      </c>
      <c r="D16" s="350"/>
      <c r="E16" s="350"/>
      <c r="F16" s="361" t="s">
        <v>695</v>
      </c>
      <c r="G16" s="362"/>
      <c r="H16" s="366" t="s">
        <v>42</v>
      </c>
      <c r="I16" s="366"/>
      <c r="J16" s="383" t="s">
        <v>29</v>
      </c>
      <c r="K16" s="383"/>
      <c r="L16" s="383"/>
      <c r="M16" s="383"/>
      <c r="N16" s="359"/>
      <c r="O16" s="359"/>
      <c r="P16" s="359"/>
      <c r="Q16" s="359"/>
      <c r="S16" s="155">
        <f>IF(H16="Nicht anwendbar","n.a.",0)</f>
        <v>0</v>
      </c>
      <c r="T16" s="49">
        <f>IF(H16="Vollständig",1,0)</f>
        <v>0</v>
      </c>
      <c r="U16" s="49">
        <f>IF(H16="In den meisten Fällen",0.75,0)</f>
        <v>0</v>
      </c>
      <c r="V16" s="49">
        <f>IF(H16="In ein Paar Fällen",0.5,0)</f>
        <v>0</v>
      </c>
      <c r="W16" s="49">
        <f>IF(H16="Gar nicht",0,0)</f>
        <v>0</v>
      </c>
      <c r="X16" s="49">
        <f>IFERROR(SUM(T16:W17)/COUNTIF(H16:H17,"&lt;&gt;Nicht anwendbar"),"n.a.")</f>
        <v>0</v>
      </c>
      <c r="Y16" s="48">
        <f>X16</f>
        <v>0</v>
      </c>
      <c r="Z16" s="48">
        <f>IF(Y16&lt;&gt;"n.a.",SUM(Y16,Y18,Y21,Y23,Y26),NA())</f>
        <v>0</v>
      </c>
      <c r="AG16" s="49" t="str">
        <f t="shared" ref="AG16:AG20" si="0">IF(X16&gt;0.5,"Umgesetzt","Nicht umgesetzt")</f>
        <v>Nicht umgesetzt</v>
      </c>
    </row>
    <row r="17" spans="2:33" ht="50.15" customHeight="1" thickBot="1" x14ac:dyDescent="0.35">
      <c r="B17" s="326"/>
      <c r="C17" s="360" t="s">
        <v>1156</v>
      </c>
      <c r="D17" s="360"/>
      <c r="E17" s="360"/>
      <c r="F17" s="307"/>
      <c r="G17" s="307"/>
      <c r="H17" s="340" t="s">
        <v>42</v>
      </c>
      <c r="I17" s="340"/>
      <c r="J17" s="384"/>
      <c r="K17" s="384"/>
      <c r="L17" s="384"/>
      <c r="M17" s="384"/>
      <c r="N17" s="378"/>
      <c r="O17" s="378"/>
      <c r="P17" s="378"/>
      <c r="Q17" s="378"/>
      <c r="S17" s="74">
        <f t="shared" ref="S17:S27" si="1">IF(H17="Nicht anwendbar","n.a.",0)</f>
        <v>0</v>
      </c>
      <c r="T17" s="75">
        <f t="shared" ref="T17:T27" si="2">IF(H17="Vollständig",1,0)</f>
        <v>0</v>
      </c>
      <c r="U17" s="75">
        <f>IF(H17="In den meisten Fällen",0.75,0)</f>
        <v>0</v>
      </c>
      <c r="V17" s="75">
        <f>IF(H17="In ein Paar Fällen",0.5,0)</f>
        <v>0</v>
      </c>
      <c r="W17" s="75">
        <f>IF(H17="Gar nicht",0,0)</f>
        <v>0</v>
      </c>
      <c r="X17" s="75"/>
      <c r="AG17" s="49" t="str">
        <f>IF(X17&gt;0.5,"Umgesetzt","Nicht umgesetzt")</f>
        <v>Nicht umgesetzt</v>
      </c>
    </row>
    <row r="18" spans="2:33" ht="40" customHeight="1" thickBot="1" x14ac:dyDescent="0.3">
      <c r="B18" s="325">
        <v>2</v>
      </c>
      <c r="C18" s="343" t="s">
        <v>684</v>
      </c>
      <c r="D18" s="343"/>
      <c r="E18" s="343"/>
      <c r="F18" s="361" t="s">
        <v>696</v>
      </c>
      <c r="G18" s="362"/>
      <c r="H18" s="365" t="s">
        <v>42</v>
      </c>
      <c r="I18" s="365"/>
      <c r="J18" s="352" t="s">
        <v>996</v>
      </c>
      <c r="K18" s="352"/>
      <c r="L18" s="352"/>
      <c r="M18" s="352"/>
      <c r="N18" s="401"/>
      <c r="O18" s="401"/>
      <c r="P18" s="401"/>
      <c r="Q18" s="401"/>
      <c r="S18" s="49">
        <f t="shared" si="1"/>
        <v>0</v>
      </c>
      <c r="T18" s="49">
        <f t="shared" si="2"/>
        <v>0</v>
      </c>
      <c r="U18" s="49">
        <f>IF(H18="In den meisten Fällen",0.75,0)</f>
        <v>0</v>
      </c>
      <c r="V18" s="49">
        <f>IF(H18="In ein Paar Fällen",0.5,0)</f>
        <v>0</v>
      </c>
      <c r="W18" s="49">
        <f>IF(H18="Gar nicht",0,0)</f>
        <v>0</v>
      </c>
      <c r="X18" s="143">
        <f>IFERROR(SUM(T18:W20)/COUNTIF(H18:H20,"&lt;&gt;Nicht anwendbar"),"n.a.")</f>
        <v>0</v>
      </c>
      <c r="Y18" s="48">
        <f>IF(X16=1,X18,0)</f>
        <v>0</v>
      </c>
      <c r="AG18" s="49" t="str">
        <f t="shared" si="0"/>
        <v>Nicht umgesetzt</v>
      </c>
    </row>
    <row r="19" spans="2:33" ht="40" customHeight="1" thickBot="1" x14ac:dyDescent="0.3">
      <c r="B19" s="323"/>
      <c r="C19" s="330" t="s">
        <v>686</v>
      </c>
      <c r="D19" s="330"/>
      <c r="E19" s="330"/>
      <c r="F19" s="307"/>
      <c r="G19" s="307"/>
      <c r="H19" s="366" t="s">
        <v>42</v>
      </c>
      <c r="I19" s="366"/>
      <c r="J19" s="286"/>
      <c r="K19" s="286"/>
      <c r="L19" s="286"/>
      <c r="M19" s="286"/>
      <c r="N19" s="339"/>
      <c r="O19" s="339"/>
      <c r="P19" s="339"/>
      <c r="Q19" s="339"/>
      <c r="S19" s="49">
        <f t="shared" si="1"/>
        <v>0</v>
      </c>
      <c r="T19" s="49">
        <f t="shared" si="2"/>
        <v>0</v>
      </c>
      <c r="U19" s="49">
        <f t="shared" ref="U19:U27" si="3">IF(H19="In den meisten Fällen",0.75,0)</f>
        <v>0</v>
      </c>
      <c r="V19" s="49">
        <f t="shared" ref="V19:V27" si="4">IF(H19="In ein Paar Fällen",0.5,0)</f>
        <v>0</v>
      </c>
      <c r="W19" s="49">
        <f t="shared" ref="W19:W27" si="5">IF(H19="Gar nicht",0,0)</f>
        <v>0</v>
      </c>
      <c r="X19" s="49"/>
      <c r="AG19" s="49" t="str">
        <f t="shared" si="0"/>
        <v>Nicht umgesetzt</v>
      </c>
    </row>
    <row r="20" spans="2:33" ht="40" customHeight="1" thickBot="1" x14ac:dyDescent="0.3">
      <c r="B20" s="326"/>
      <c r="C20" s="308" t="s">
        <v>685</v>
      </c>
      <c r="D20" s="308"/>
      <c r="E20" s="308"/>
      <c r="F20" s="308"/>
      <c r="G20" s="308"/>
      <c r="H20" s="340" t="s">
        <v>42</v>
      </c>
      <c r="I20" s="340"/>
      <c r="J20" s="275"/>
      <c r="K20" s="275"/>
      <c r="L20" s="275"/>
      <c r="M20" s="275"/>
      <c r="N20" s="339"/>
      <c r="O20" s="339"/>
      <c r="P20" s="339"/>
      <c r="Q20" s="339"/>
      <c r="S20" s="75">
        <f t="shared" si="1"/>
        <v>0</v>
      </c>
      <c r="T20" s="75">
        <f t="shared" si="2"/>
        <v>0</v>
      </c>
      <c r="U20" s="75">
        <f t="shared" si="3"/>
        <v>0</v>
      </c>
      <c r="V20" s="75">
        <f t="shared" si="4"/>
        <v>0</v>
      </c>
      <c r="W20" s="75">
        <f t="shared" si="5"/>
        <v>0</v>
      </c>
      <c r="X20" s="75"/>
      <c r="AG20" s="49" t="str">
        <f t="shared" si="0"/>
        <v>Nicht umgesetzt</v>
      </c>
    </row>
    <row r="21" spans="2:33" ht="40" customHeight="1" thickBot="1" x14ac:dyDescent="0.3">
      <c r="B21" s="325">
        <v>3</v>
      </c>
      <c r="C21" s="344" t="s">
        <v>687</v>
      </c>
      <c r="D21" s="345"/>
      <c r="E21" s="345"/>
      <c r="F21" s="370" t="s">
        <v>697</v>
      </c>
      <c r="G21" s="371"/>
      <c r="H21" s="365" t="s">
        <v>42</v>
      </c>
      <c r="I21" s="365"/>
      <c r="J21" s="357" t="s">
        <v>997</v>
      </c>
      <c r="K21" s="358"/>
      <c r="L21" s="358"/>
      <c r="M21" s="358"/>
      <c r="N21" s="401"/>
      <c r="O21" s="401"/>
      <c r="P21" s="401"/>
      <c r="Q21" s="401"/>
      <c r="S21" s="48">
        <f t="shared" si="1"/>
        <v>0</v>
      </c>
      <c r="T21" s="49">
        <f t="shared" si="2"/>
        <v>0</v>
      </c>
      <c r="U21" s="49">
        <f t="shared" si="3"/>
        <v>0</v>
      </c>
      <c r="V21" s="49">
        <f t="shared" si="4"/>
        <v>0</v>
      </c>
      <c r="W21" s="49">
        <f t="shared" si="5"/>
        <v>0</v>
      </c>
      <c r="X21" s="143">
        <f>IFERROR(SUM(T21:W22)/COUNTIF(H21:H22,"&lt;&gt;Nicht anwendbar"),"n.a.")</f>
        <v>0</v>
      </c>
      <c r="Y21" s="48">
        <f>IF(Y18=1,X21,0)</f>
        <v>0</v>
      </c>
    </row>
    <row r="22" spans="2:33" ht="40" customHeight="1" thickBot="1" x14ac:dyDescent="0.3">
      <c r="B22" s="326"/>
      <c r="C22" s="368" t="s">
        <v>816</v>
      </c>
      <c r="D22" s="368"/>
      <c r="E22" s="368"/>
      <c r="F22" s="386"/>
      <c r="G22" s="386"/>
      <c r="H22" s="340" t="s">
        <v>42</v>
      </c>
      <c r="I22" s="340"/>
      <c r="J22" s="270"/>
      <c r="K22" s="270"/>
      <c r="L22" s="270"/>
      <c r="M22" s="270"/>
      <c r="N22" s="339"/>
      <c r="O22" s="339"/>
      <c r="P22" s="339"/>
      <c r="Q22" s="339"/>
      <c r="S22" s="75">
        <f t="shared" si="1"/>
        <v>0</v>
      </c>
      <c r="T22" s="75">
        <f t="shared" si="2"/>
        <v>0</v>
      </c>
      <c r="U22" s="75">
        <f t="shared" si="3"/>
        <v>0</v>
      </c>
      <c r="V22" s="75">
        <f t="shared" si="4"/>
        <v>0</v>
      </c>
      <c r="W22" s="75">
        <f t="shared" si="5"/>
        <v>0</v>
      </c>
      <c r="X22" s="75"/>
    </row>
    <row r="23" spans="2:33" ht="40" customHeight="1" thickBot="1" x14ac:dyDescent="0.3">
      <c r="B23" s="325">
        <v>4</v>
      </c>
      <c r="C23" s="343" t="s">
        <v>689</v>
      </c>
      <c r="D23" s="343"/>
      <c r="E23" s="343"/>
      <c r="F23" s="361" t="s">
        <v>698</v>
      </c>
      <c r="G23" s="362"/>
      <c r="H23" s="365" t="s">
        <v>42</v>
      </c>
      <c r="I23" s="365"/>
      <c r="J23" s="351" t="s">
        <v>998</v>
      </c>
      <c r="K23" s="352"/>
      <c r="L23" s="352"/>
      <c r="M23" s="352"/>
      <c r="N23" s="401"/>
      <c r="O23" s="401"/>
      <c r="P23" s="401"/>
      <c r="Q23" s="401"/>
      <c r="S23" s="49">
        <f t="shared" si="1"/>
        <v>0</v>
      </c>
      <c r="T23" s="49">
        <f t="shared" si="2"/>
        <v>0</v>
      </c>
      <c r="U23" s="49">
        <f t="shared" si="3"/>
        <v>0</v>
      </c>
      <c r="V23" s="49">
        <f t="shared" si="4"/>
        <v>0</v>
      </c>
      <c r="W23" s="49">
        <f t="shared" si="5"/>
        <v>0</v>
      </c>
      <c r="X23" s="143">
        <f>IFERROR(SUM(T23:W25)/COUNTIF(H23:H25,"&lt;&gt;Nicht anwendbar"),"n.a.")</f>
        <v>0</v>
      </c>
      <c r="Y23" s="48">
        <f>IF(Y21=1,X23,0)</f>
        <v>0</v>
      </c>
    </row>
    <row r="24" spans="2:33" ht="40" customHeight="1" thickBot="1" x14ac:dyDescent="0.3">
      <c r="B24" s="323"/>
      <c r="C24" s="330" t="s">
        <v>688</v>
      </c>
      <c r="D24" s="330"/>
      <c r="E24" s="330"/>
      <c r="F24" s="307"/>
      <c r="G24" s="307"/>
      <c r="H24" s="366" t="s">
        <v>42</v>
      </c>
      <c r="I24" s="366"/>
      <c r="J24" s="286"/>
      <c r="K24" s="286"/>
      <c r="L24" s="286"/>
      <c r="M24" s="286"/>
      <c r="N24" s="339"/>
      <c r="O24" s="339"/>
      <c r="P24" s="339"/>
      <c r="Q24" s="339"/>
      <c r="S24" s="49">
        <f t="shared" si="1"/>
        <v>0</v>
      </c>
      <c r="T24" s="49">
        <f t="shared" si="2"/>
        <v>0</v>
      </c>
      <c r="U24" s="49">
        <f t="shared" si="3"/>
        <v>0</v>
      </c>
      <c r="V24" s="49">
        <f t="shared" si="4"/>
        <v>0</v>
      </c>
      <c r="W24" s="49">
        <f t="shared" si="5"/>
        <v>0</v>
      </c>
      <c r="X24" s="49"/>
    </row>
    <row r="25" spans="2:33" ht="40" customHeight="1" thickBot="1" x14ac:dyDescent="0.3">
      <c r="B25" s="323"/>
      <c r="C25" s="350" t="s">
        <v>690</v>
      </c>
      <c r="D25" s="350"/>
      <c r="E25" s="350"/>
      <c r="F25" s="308"/>
      <c r="G25" s="308"/>
      <c r="H25" s="340" t="s">
        <v>42</v>
      </c>
      <c r="I25" s="340"/>
      <c r="J25" s="275"/>
      <c r="K25" s="275"/>
      <c r="L25" s="275"/>
      <c r="M25" s="275"/>
      <c r="N25" s="339"/>
      <c r="O25" s="339"/>
      <c r="P25" s="339"/>
      <c r="Q25" s="339"/>
      <c r="S25" s="149">
        <f t="shared" si="1"/>
        <v>0</v>
      </c>
      <c r="T25" s="149">
        <f t="shared" si="2"/>
        <v>0</v>
      </c>
      <c r="U25" s="149">
        <f t="shared" si="3"/>
        <v>0</v>
      </c>
      <c r="V25" s="149">
        <f t="shared" si="4"/>
        <v>0</v>
      </c>
      <c r="W25" s="149">
        <f t="shared" si="5"/>
        <v>0</v>
      </c>
      <c r="X25" s="149"/>
    </row>
    <row r="26" spans="2:33" ht="40" customHeight="1" thickBot="1" x14ac:dyDescent="0.3">
      <c r="B26" s="325">
        <v>5</v>
      </c>
      <c r="C26" s="393" t="s">
        <v>1030</v>
      </c>
      <c r="D26" s="393"/>
      <c r="E26" s="393"/>
      <c r="F26" s="361" t="s">
        <v>699</v>
      </c>
      <c r="G26" s="362"/>
      <c r="H26" s="365" t="s">
        <v>42</v>
      </c>
      <c r="I26" s="365"/>
      <c r="J26" s="351" t="s">
        <v>999</v>
      </c>
      <c r="K26" s="352"/>
      <c r="L26" s="352"/>
      <c r="M26" s="352"/>
      <c r="N26" s="401"/>
      <c r="O26" s="401"/>
      <c r="P26" s="401"/>
      <c r="Q26" s="401"/>
      <c r="S26" s="157">
        <f t="shared" si="1"/>
        <v>0</v>
      </c>
      <c r="T26" s="157">
        <f t="shared" si="2"/>
        <v>0</v>
      </c>
      <c r="U26" s="157">
        <f t="shared" si="3"/>
        <v>0</v>
      </c>
      <c r="V26" s="157">
        <f t="shared" si="4"/>
        <v>0</v>
      </c>
      <c r="W26" s="157">
        <f t="shared" si="5"/>
        <v>0</v>
      </c>
      <c r="X26" s="143">
        <f>IFERROR(SUM(T26:W27)/COUNTIF(H26:H27,"&lt;&gt;Nicht anwendbar"),"n.a.")</f>
        <v>0</v>
      </c>
      <c r="Y26" s="48">
        <f>IF(Y23=1,X26,0)</f>
        <v>0</v>
      </c>
    </row>
    <row r="27" spans="2:33" ht="40" customHeight="1" thickBot="1" x14ac:dyDescent="0.3">
      <c r="B27" s="326"/>
      <c r="C27" s="310" t="s">
        <v>691</v>
      </c>
      <c r="D27" s="310"/>
      <c r="E27" s="310"/>
      <c r="F27" s="308"/>
      <c r="G27" s="308"/>
      <c r="H27" s="340" t="s">
        <v>42</v>
      </c>
      <c r="I27" s="340"/>
      <c r="J27" s="275"/>
      <c r="K27" s="275"/>
      <c r="L27" s="275"/>
      <c r="M27" s="275"/>
      <c r="N27" s="414"/>
      <c r="O27" s="414"/>
      <c r="P27" s="414"/>
      <c r="Q27" s="414"/>
      <c r="S27" s="149">
        <f t="shared" si="1"/>
        <v>0</v>
      </c>
      <c r="T27" s="149">
        <f t="shared" si="2"/>
        <v>0</v>
      </c>
      <c r="U27" s="149">
        <f t="shared" si="3"/>
        <v>0</v>
      </c>
      <c r="V27" s="149">
        <f t="shared" si="4"/>
        <v>0</v>
      </c>
      <c r="W27" s="149">
        <f t="shared" si="5"/>
        <v>0</v>
      </c>
      <c r="X27" s="149"/>
    </row>
  </sheetData>
  <sheetProtection formatCells="0"/>
  <protectedRanges>
    <protectedRange sqref="N31:Q32" name="Bereich1"/>
    <protectedRange sqref="N28:Q28 N21:Q21 N18:Q18 N23:Q23 N26:Q26" name="Bereich1_1"/>
  </protectedRanges>
  <mergeCells count="63">
    <mergeCell ref="J23:M25"/>
    <mergeCell ref="J26:M27"/>
    <mergeCell ref="B26:B27"/>
    <mergeCell ref="C26:E26"/>
    <mergeCell ref="F26:G27"/>
    <mergeCell ref="H26:I26"/>
    <mergeCell ref="C27:E27"/>
    <mergeCell ref="H27:I27"/>
    <mergeCell ref="B18:B20"/>
    <mergeCell ref="C22:E22"/>
    <mergeCell ref="H22:I22"/>
    <mergeCell ref="B23:B25"/>
    <mergeCell ref="C23:E23"/>
    <mergeCell ref="F23:G25"/>
    <mergeCell ref="H23:I23"/>
    <mergeCell ref="C24:E24"/>
    <mergeCell ref="H24:I24"/>
    <mergeCell ref="C25:E25"/>
    <mergeCell ref="H25:I25"/>
    <mergeCell ref="B21:B22"/>
    <mergeCell ref="C21:E21"/>
    <mergeCell ref="F21:G22"/>
    <mergeCell ref="H21:I21"/>
    <mergeCell ref="C18:E18"/>
    <mergeCell ref="J21:M22"/>
    <mergeCell ref="B15:M15"/>
    <mergeCell ref="B4:M4"/>
    <mergeCell ref="C6:G6"/>
    <mergeCell ref="C7:M7"/>
    <mergeCell ref="C8:M8"/>
    <mergeCell ref="C9:M9"/>
    <mergeCell ref="C10:M10"/>
    <mergeCell ref="C14:E14"/>
    <mergeCell ref="F14:G14"/>
    <mergeCell ref="H14:I14"/>
    <mergeCell ref="J14:M14"/>
    <mergeCell ref="C17:E17"/>
    <mergeCell ref="H17:I17"/>
    <mergeCell ref="B16:B17"/>
    <mergeCell ref="F18:G20"/>
    <mergeCell ref="F16:G17"/>
    <mergeCell ref="C16:E16"/>
    <mergeCell ref="H16:I16"/>
    <mergeCell ref="J16:M17"/>
    <mergeCell ref="J18:M20"/>
    <mergeCell ref="H18:I18"/>
    <mergeCell ref="C19:E19"/>
    <mergeCell ref="H19:I19"/>
    <mergeCell ref="C20:E20"/>
    <mergeCell ref="H20:I20"/>
    <mergeCell ref="N14:Q14"/>
    <mergeCell ref="N16:Q16"/>
    <mergeCell ref="N17:Q17"/>
    <mergeCell ref="N18:Q18"/>
    <mergeCell ref="N19:Q19"/>
    <mergeCell ref="N25:Q25"/>
    <mergeCell ref="N26:Q26"/>
    <mergeCell ref="N27:Q27"/>
    <mergeCell ref="N20:Q20"/>
    <mergeCell ref="N21:Q21"/>
    <mergeCell ref="N22:Q22"/>
    <mergeCell ref="N23:Q23"/>
    <mergeCell ref="N24:Q24"/>
  </mergeCells>
  <conditionalFormatting sqref="H18:I27">
    <cfRule type="containsText" dxfId="14" priority="3" operator="containsText" text="Bitte auswählen">
      <formula>NOT(ISERROR(SEARCH("Bitte auswählen",H18)))</formula>
    </cfRule>
  </conditionalFormatting>
  <conditionalFormatting sqref="H16:I17">
    <cfRule type="containsText" dxfId="13" priority="1" operator="containsText" text="Bitte auswählen">
      <formula>NOT(ISERROR(SEARCH("Bitte auswählen",H16)))</formula>
    </cfRule>
  </conditionalFormatting>
  <dataValidations xWindow="756" yWindow="411" count="2">
    <dataValidation allowBlank="1" showInputMessage="1" showErrorMessage="1" promptTitle="[+] Klicken" prompt="Hier können Sie sich erweiterte Informationen zu dem Prozess anzeigen lassen." sqref="A11" xr:uid="{ABA627EA-0C59-44BB-B9A0-5F4380ACA036}"/>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63FAAE5E-330D-474A-AD03-2886B556B16C}"/>
  </dataValidations>
  <hyperlinks>
    <hyperlink ref="C26:E26" location="Glossar!A1" display="Ist die Dokumentationskultur vorbildlich, wird intern gelebt und extern kommuniziert (z. B. in CSR, Recruiting)?" xr:uid="{7882096F-0C8D-43F2-BD85-F3802703AE22}"/>
  </hyperlinks>
  <pageMargins left="0.23622047244094491" right="0.23622047244094491" top="0.74803149606299213" bottom="0.74803149606299213" header="0.31496062992125984" footer="0.31496062992125984"/>
  <pageSetup paperSize="9" scale="46" orientation="landscape" horizontalDpi="4294967293"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756" yWindow="411" count="1">
        <x14:dataValidation type="list" allowBlank="1" showInputMessage="1" showErrorMessage="1" xr:uid="{202E6338-BD4E-451B-93A6-423702A393F0}">
          <x14:formula1>
            <xm:f>Data!$I$3:$I$8</xm:f>
          </x14:formula1>
          <xm:sqref>H16:I27</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C8E88-8698-4652-82FA-523CF4567738}">
  <sheetPr>
    <tabColor theme="5"/>
    <pageSetUpPr fitToPage="1"/>
  </sheetPr>
  <dimension ref="B4:AG30"/>
  <sheetViews>
    <sheetView showGridLines="0" zoomScale="90" zoomScaleNormal="90" zoomScalePageLayoutView="85" workbookViewId="0"/>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68.54296875" style="48" hidden="1" customWidth="1" outlineLevel="1"/>
    <col min="7" max="7" width="26.453125" style="48" hidden="1" customWidth="1" outlineLevel="1"/>
    <col min="8" max="8" width="11.453125" style="48" collapsed="1"/>
    <col min="9" max="10" width="11.453125" style="48"/>
    <col min="11" max="11" width="13.26953125" style="48" customWidth="1"/>
    <col min="12" max="12" width="11.453125" style="48"/>
    <col min="13" max="13" width="23.7265625" style="48" customWidth="1"/>
    <col min="14" max="14" width="11.453125" style="48"/>
    <col min="15" max="15" width="13.26953125" style="48" customWidth="1"/>
    <col min="16" max="16" width="11.453125" style="48"/>
    <col min="17" max="17" width="24.81640625" style="48" customWidth="1"/>
    <col min="18" max="18" width="11.453125" style="49"/>
    <col min="19" max="24" width="11.453125" style="48" customWidth="1"/>
    <col min="25" max="25" width="14" style="48" customWidth="1"/>
    <col min="26" max="32" width="11.453125" style="48" customWidth="1"/>
    <col min="33" max="33" width="11.453125" style="48" hidden="1" customWidth="1"/>
    <col min="34" max="16384" width="11.453125" style="48"/>
  </cols>
  <sheetData>
    <row r="4" spans="2:33" ht="14" x14ac:dyDescent="0.3">
      <c r="B4" s="290" t="s">
        <v>39</v>
      </c>
      <c r="C4" s="290"/>
      <c r="D4" s="290"/>
      <c r="E4" s="290"/>
      <c r="F4" s="290"/>
      <c r="G4" s="290"/>
      <c r="H4" s="290"/>
      <c r="I4" s="290"/>
      <c r="J4" s="290"/>
      <c r="K4" s="290"/>
      <c r="L4" s="290"/>
      <c r="M4" s="290"/>
      <c r="N4" s="216"/>
      <c r="O4" s="216"/>
      <c r="P4" s="216"/>
      <c r="Q4" s="216"/>
    </row>
    <row r="5" spans="2:33" ht="9" customHeight="1" x14ac:dyDescent="0.25"/>
    <row r="6" spans="2:33" ht="32.25" customHeight="1" thickBot="1" x14ac:dyDescent="0.3">
      <c r="B6" s="77" t="s">
        <v>136</v>
      </c>
      <c r="C6" s="293" t="s">
        <v>179</v>
      </c>
      <c r="D6" s="293"/>
      <c r="E6" s="293"/>
      <c r="F6" s="293"/>
      <c r="G6" s="293"/>
      <c r="H6" s="53"/>
      <c r="I6" s="53"/>
      <c r="J6" s="53"/>
      <c r="K6" s="53" t="s">
        <v>36</v>
      </c>
      <c r="L6" s="55">
        <f>ROUNDDOWN(Z16/0.25,0)*0.25</f>
        <v>0</v>
      </c>
      <c r="M6" s="54" t="str">
        <f>IF(L6&lt;1,"Unvollständig",IF(L6&lt;2,"Initial",IF(L6&lt;3,"Gemanagt",IF(L6&lt;4,"Definiert",IF(L6&lt;5,"Quantitativ gemanagt",IF(L6&lt;6,"Optimiert","Ausstehend"))))))</f>
        <v>Unvollständig</v>
      </c>
      <c r="N6" s="53"/>
      <c r="O6" s="53"/>
      <c r="P6" s="55"/>
      <c r="Q6" s="54"/>
    </row>
    <row r="7" spans="2:33" ht="35.25" hidden="1" customHeight="1" outlineLevel="1" x14ac:dyDescent="0.25">
      <c r="B7" s="76" t="s">
        <v>211</v>
      </c>
      <c r="C7" s="294" t="s">
        <v>820</v>
      </c>
      <c r="D7" s="295"/>
      <c r="E7" s="295"/>
      <c r="F7" s="295"/>
      <c r="G7" s="295"/>
      <c r="H7" s="295"/>
      <c r="I7" s="295"/>
      <c r="J7" s="295"/>
      <c r="K7" s="295"/>
      <c r="L7" s="295"/>
      <c r="M7" s="296"/>
      <c r="N7" s="218"/>
      <c r="O7" s="218"/>
      <c r="P7" s="218"/>
      <c r="Q7" s="218"/>
    </row>
    <row r="8" spans="2:33" ht="70.5" hidden="1" customHeight="1" outlineLevel="1" x14ac:dyDescent="0.25">
      <c r="B8" s="51" t="s">
        <v>212</v>
      </c>
      <c r="C8" s="297" t="s">
        <v>834</v>
      </c>
      <c r="D8" s="298"/>
      <c r="E8" s="298"/>
      <c r="F8" s="298"/>
      <c r="G8" s="298"/>
      <c r="H8" s="298"/>
      <c r="I8" s="298"/>
      <c r="J8" s="298"/>
      <c r="K8" s="298"/>
      <c r="L8" s="298"/>
      <c r="M8" s="299"/>
      <c r="N8" s="217"/>
      <c r="O8" s="217"/>
      <c r="P8" s="217"/>
      <c r="Q8" s="217"/>
    </row>
    <row r="9" spans="2:33" ht="75" hidden="1" customHeight="1" outlineLevel="1" x14ac:dyDescent="0.25">
      <c r="B9" s="51" t="s">
        <v>30</v>
      </c>
      <c r="C9" s="300" t="s">
        <v>835</v>
      </c>
      <c r="D9" s="301"/>
      <c r="E9" s="301"/>
      <c r="F9" s="301"/>
      <c r="G9" s="301"/>
      <c r="H9" s="301"/>
      <c r="I9" s="301"/>
      <c r="J9" s="301"/>
      <c r="K9" s="301"/>
      <c r="L9" s="301"/>
      <c r="M9" s="302"/>
      <c r="N9" s="218"/>
      <c r="O9" s="218"/>
      <c r="P9" s="218"/>
      <c r="Q9" s="218"/>
    </row>
    <row r="10" spans="2:33" ht="65.25" hidden="1" customHeight="1" outlineLevel="1" x14ac:dyDescent="0.25">
      <c r="B10" s="51" t="s">
        <v>31</v>
      </c>
      <c r="C10" s="300" t="s">
        <v>836</v>
      </c>
      <c r="D10" s="301"/>
      <c r="E10" s="301"/>
      <c r="F10" s="301"/>
      <c r="G10" s="301"/>
      <c r="H10" s="301"/>
      <c r="I10" s="301"/>
      <c r="J10" s="301"/>
      <c r="K10" s="301"/>
      <c r="L10" s="301"/>
      <c r="M10" s="302"/>
      <c r="N10" s="218"/>
      <c r="O10" s="218"/>
      <c r="P10" s="218"/>
      <c r="Q10" s="218"/>
    </row>
    <row r="11" spans="2:33" collapsed="1" x14ac:dyDescent="0.25"/>
    <row r="12" spans="2:33" ht="13" x14ac:dyDescent="0.3">
      <c r="B12" s="50" t="s">
        <v>33</v>
      </c>
      <c r="C12" s="49"/>
    </row>
    <row r="13" spans="2:33" ht="6.75" customHeight="1" x14ac:dyDescent="0.25"/>
    <row r="14" spans="2:33" ht="21.75" customHeight="1" x14ac:dyDescent="0.25">
      <c r="B14" s="52" t="s">
        <v>34</v>
      </c>
      <c r="C14" s="353" t="s">
        <v>37</v>
      </c>
      <c r="D14" s="354"/>
      <c r="E14" s="355"/>
      <c r="F14" s="341" t="s">
        <v>67</v>
      </c>
      <c r="G14" s="356"/>
      <c r="H14" s="341" t="s">
        <v>3</v>
      </c>
      <c r="I14" s="356"/>
      <c r="J14" s="341" t="s">
        <v>886</v>
      </c>
      <c r="K14" s="342"/>
      <c r="L14" s="342"/>
      <c r="M14" s="342"/>
      <c r="N14" s="341" t="s">
        <v>38</v>
      </c>
      <c r="O14" s="342"/>
      <c r="P14" s="342"/>
      <c r="Q14" s="342"/>
      <c r="S14" s="149"/>
      <c r="T14" s="149" t="s">
        <v>35</v>
      </c>
      <c r="U14" s="149"/>
      <c r="V14" s="149"/>
      <c r="W14" s="149"/>
      <c r="X14" s="149"/>
      <c r="Y14" s="149" t="s">
        <v>45</v>
      </c>
      <c r="Z14" s="149" t="s">
        <v>44</v>
      </c>
    </row>
    <row r="15" spans="2:33" ht="1.5" customHeight="1" x14ac:dyDescent="0.3">
      <c r="B15" s="314"/>
      <c r="C15" s="314"/>
      <c r="D15" s="314"/>
      <c r="E15" s="314"/>
      <c r="F15" s="314"/>
      <c r="G15" s="314"/>
      <c r="H15" s="314"/>
      <c r="I15" s="314"/>
      <c r="J15" s="314"/>
      <c r="K15" s="314"/>
      <c r="L15" s="314"/>
      <c r="M15" s="314"/>
      <c r="N15" s="219"/>
      <c r="O15" s="219"/>
      <c r="P15" s="219"/>
      <c r="Q15" s="219"/>
    </row>
    <row r="16" spans="2:33" ht="40" customHeight="1" thickBot="1" x14ac:dyDescent="0.35">
      <c r="B16" s="182">
        <v>1</v>
      </c>
      <c r="C16" s="310" t="s">
        <v>821</v>
      </c>
      <c r="D16" s="310"/>
      <c r="E16" s="310"/>
      <c r="F16" s="310" t="s">
        <v>837</v>
      </c>
      <c r="G16" s="310"/>
      <c r="H16" s="340" t="s">
        <v>42</v>
      </c>
      <c r="I16" s="340"/>
      <c r="J16" s="340" t="s">
        <v>29</v>
      </c>
      <c r="K16" s="340"/>
      <c r="L16" s="340"/>
      <c r="M16" s="340"/>
      <c r="N16" s="415"/>
      <c r="O16" s="415"/>
      <c r="P16" s="415"/>
      <c r="Q16" s="415"/>
      <c r="S16" s="74">
        <f>IF(H16="Nicht anwendbar","n.a.",0)</f>
        <v>0</v>
      </c>
      <c r="T16" s="75">
        <f>IF(H16="Vollständig",1,0)</f>
        <v>0</v>
      </c>
      <c r="U16" s="75">
        <f>IF(H16="In den meisten Fällen",0.75,0)</f>
        <v>0</v>
      </c>
      <c r="V16" s="75">
        <f>IF(H16="In ein Paar Fällen",0.5,0)</f>
        <v>0</v>
      </c>
      <c r="W16" s="75">
        <f>IF(H16="Gar nicht",0,0)</f>
        <v>0</v>
      </c>
      <c r="X16" s="75">
        <f>IF(S16&gt;0,"n.a.",SUM(S16:W16))</f>
        <v>0</v>
      </c>
      <c r="Y16" s="48">
        <f>X16</f>
        <v>0</v>
      </c>
      <c r="Z16" s="48">
        <f>IF(Y16&lt;&gt;"n.a.",SUM(Y16,Y17,Y20,Y24,Y28),NA())</f>
        <v>0</v>
      </c>
      <c r="AG16" s="49" t="str">
        <f t="shared" ref="AG16:AG19" si="0">IF(X16&gt;0.5,"Umgesetzt","Nicht umgesetzt")</f>
        <v>Nicht umgesetzt</v>
      </c>
    </row>
    <row r="17" spans="2:33" ht="40" customHeight="1" thickBot="1" x14ac:dyDescent="0.3">
      <c r="B17" s="325">
        <v>2</v>
      </c>
      <c r="C17" s="343" t="s">
        <v>822</v>
      </c>
      <c r="D17" s="343"/>
      <c r="E17" s="343"/>
      <c r="F17" s="361" t="s">
        <v>838</v>
      </c>
      <c r="G17" s="362"/>
      <c r="H17" s="365" t="s">
        <v>42</v>
      </c>
      <c r="I17" s="365"/>
      <c r="J17" s="351" t="s">
        <v>1000</v>
      </c>
      <c r="K17" s="352"/>
      <c r="L17" s="352"/>
      <c r="M17" s="352"/>
      <c r="N17" s="339"/>
      <c r="O17" s="339"/>
      <c r="P17" s="339"/>
      <c r="Q17" s="339"/>
      <c r="S17" s="49">
        <f t="shared" ref="S17:S30" si="1">IF(H17="Nicht anwendbar","n.a.",0)</f>
        <v>0</v>
      </c>
      <c r="T17" s="49">
        <f t="shared" ref="T17:T30" si="2">IF(H17="Vollständig",1,0)</f>
        <v>0</v>
      </c>
      <c r="U17" s="49">
        <f>IF(H17="In den meisten Fällen",0.75,0)</f>
        <v>0</v>
      </c>
      <c r="V17" s="49">
        <f>IF(H17="In ein Paar Fällen",0.5,0)</f>
        <v>0</v>
      </c>
      <c r="W17" s="49">
        <f>IF(H17="Gar nicht",0,0)</f>
        <v>0</v>
      </c>
      <c r="X17" s="49">
        <f>IFERROR(SUM(T17:W19)/COUNTIF(H17:H19,"&lt;&gt;Nicht anwendbar"),"n.a.")</f>
        <v>0</v>
      </c>
      <c r="Y17" s="48">
        <f>IF(X16=1,X17,0)</f>
        <v>0</v>
      </c>
      <c r="AG17" s="49" t="str">
        <f t="shared" si="0"/>
        <v>Nicht umgesetzt</v>
      </c>
    </row>
    <row r="18" spans="2:33" ht="40" customHeight="1" thickBot="1" x14ac:dyDescent="0.3">
      <c r="B18" s="323"/>
      <c r="C18" s="330" t="s">
        <v>823</v>
      </c>
      <c r="D18" s="330"/>
      <c r="E18" s="330"/>
      <c r="F18" s="307"/>
      <c r="G18" s="307"/>
      <c r="H18" s="366" t="s">
        <v>42</v>
      </c>
      <c r="I18" s="366"/>
      <c r="J18" s="286"/>
      <c r="K18" s="286"/>
      <c r="L18" s="286"/>
      <c r="M18" s="286"/>
      <c r="N18" s="339"/>
      <c r="O18" s="339"/>
      <c r="P18" s="339"/>
      <c r="Q18" s="339"/>
      <c r="S18" s="49">
        <f t="shared" si="1"/>
        <v>0</v>
      </c>
      <c r="T18" s="49">
        <f t="shared" si="2"/>
        <v>0</v>
      </c>
      <c r="U18" s="49">
        <f t="shared" ref="U18:U30" si="3">IF(H18="In den meisten Fällen",0.75,0)</f>
        <v>0</v>
      </c>
      <c r="V18" s="49">
        <f t="shared" ref="V18:V30" si="4">IF(H18="In ein Paar Fällen",0.5,0)</f>
        <v>0</v>
      </c>
      <c r="W18" s="49">
        <f t="shared" ref="W18:W30" si="5">IF(H18="Gar nicht",0,0)</f>
        <v>0</v>
      </c>
      <c r="X18" s="49"/>
      <c r="AG18" s="49" t="str">
        <f t="shared" si="0"/>
        <v>Nicht umgesetzt</v>
      </c>
    </row>
    <row r="19" spans="2:33" ht="40" customHeight="1" thickBot="1" x14ac:dyDescent="0.3">
      <c r="B19" s="326"/>
      <c r="C19" s="308" t="s">
        <v>824</v>
      </c>
      <c r="D19" s="308"/>
      <c r="E19" s="308"/>
      <c r="F19" s="308"/>
      <c r="G19" s="308"/>
      <c r="H19" s="340" t="s">
        <v>42</v>
      </c>
      <c r="I19" s="340"/>
      <c r="J19" s="275"/>
      <c r="K19" s="275"/>
      <c r="L19" s="275"/>
      <c r="M19" s="275"/>
      <c r="N19" s="339"/>
      <c r="O19" s="339"/>
      <c r="P19" s="339"/>
      <c r="Q19" s="339"/>
      <c r="S19" s="75">
        <f t="shared" si="1"/>
        <v>0</v>
      </c>
      <c r="T19" s="75">
        <f t="shared" si="2"/>
        <v>0</v>
      </c>
      <c r="U19" s="75">
        <f t="shared" si="3"/>
        <v>0</v>
      </c>
      <c r="V19" s="75">
        <f t="shared" si="4"/>
        <v>0</v>
      </c>
      <c r="W19" s="75">
        <f t="shared" si="5"/>
        <v>0</v>
      </c>
      <c r="X19" s="75"/>
      <c r="AG19" s="49" t="str">
        <f t="shared" si="0"/>
        <v>Nicht umgesetzt</v>
      </c>
    </row>
    <row r="20" spans="2:33" ht="40" customHeight="1" thickBot="1" x14ac:dyDescent="0.3">
      <c r="B20" s="325">
        <v>3</v>
      </c>
      <c r="C20" s="344" t="s">
        <v>825</v>
      </c>
      <c r="D20" s="345"/>
      <c r="E20" s="345"/>
      <c r="F20" s="370" t="s">
        <v>839</v>
      </c>
      <c r="G20" s="371"/>
      <c r="H20" s="365" t="s">
        <v>42</v>
      </c>
      <c r="I20" s="365"/>
      <c r="J20" s="357" t="s">
        <v>1001</v>
      </c>
      <c r="K20" s="358"/>
      <c r="L20" s="358"/>
      <c r="M20" s="358"/>
      <c r="N20" s="401"/>
      <c r="O20" s="401"/>
      <c r="P20" s="401"/>
      <c r="Q20" s="401"/>
      <c r="S20" s="48">
        <f t="shared" si="1"/>
        <v>0</v>
      </c>
      <c r="T20" s="49">
        <f t="shared" si="2"/>
        <v>0</v>
      </c>
      <c r="U20" s="49">
        <f t="shared" si="3"/>
        <v>0</v>
      </c>
      <c r="V20" s="49">
        <f t="shared" si="4"/>
        <v>0</v>
      </c>
      <c r="W20" s="49">
        <f t="shared" si="5"/>
        <v>0</v>
      </c>
      <c r="X20" s="143">
        <f>IFERROR(SUM(T20:W23)/COUNTIF(H20:H23,"&lt;&gt;Nicht anwendbar"),"n.a.")</f>
        <v>0</v>
      </c>
      <c r="Y20" s="48">
        <f>IF(Y17=1,X20,0)</f>
        <v>0</v>
      </c>
    </row>
    <row r="21" spans="2:33" ht="40" customHeight="1" thickBot="1" x14ac:dyDescent="0.3">
      <c r="B21" s="323"/>
      <c r="C21" s="347" t="s">
        <v>826</v>
      </c>
      <c r="D21" s="348"/>
      <c r="E21" s="348"/>
      <c r="F21" s="337"/>
      <c r="G21" s="337"/>
      <c r="H21" s="366" t="s">
        <v>42</v>
      </c>
      <c r="I21" s="366"/>
      <c r="J21" s="282"/>
      <c r="K21" s="282"/>
      <c r="L21" s="282"/>
      <c r="M21" s="282"/>
      <c r="N21" s="339"/>
      <c r="O21" s="339"/>
      <c r="P21" s="339"/>
      <c r="Q21" s="339"/>
      <c r="S21" s="48">
        <f t="shared" si="1"/>
        <v>0</v>
      </c>
      <c r="T21" s="49">
        <f t="shared" si="2"/>
        <v>0</v>
      </c>
      <c r="U21" s="49">
        <f t="shared" si="3"/>
        <v>0</v>
      </c>
      <c r="V21" s="49">
        <f t="shared" si="4"/>
        <v>0</v>
      </c>
      <c r="W21" s="49">
        <f t="shared" si="5"/>
        <v>0</v>
      </c>
    </row>
    <row r="22" spans="2:33" ht="40" customHeight="1" thickBot="1" x14ac:dyDescent="0.3">
      <c r="B22" s="323"/>
      <c r="C22" s="347" t="s">
        <v>827</v>
      </c>
      <c r="D22" s="348"/>
      <c r="E22" s="348"/>
      <c r="F22" s="337"/>
      <c r="G22" s="337"/>
      <c r="H22" s="366" t="s">
        <v>42</v>
      </c>
      <c r="I22" s="366"/>
      <c r="J22" s="282"/>
      <c r="K22" s="282"/>
      <c r="L22" s="282"/>
      <c r="M22" s="282"/>
      <c r="N22" s="339"/>
      <c r="O22" s="339"/>
      <c r="P22" s="339"/>
      <c r="Q22" s="339"/>
      <c r="S22" s="48">
        <f t="shared" si="1"/>
        <v>0</v>
      </c>
      <c r="T22" s="49">
        <f t="shared" si="2"/>
        <v>0</v>
      </c>
      <c r="U22" s="49">
        <f t="shared" si="3"/>
        <v>0</v>
      </c>
      <c r="V22" s="49">
        <f t="shared" si="4"/>
        <v>0</v>
      </c>
      <c r="W22" s="49">
        <f t="shared" si="5"/>
        <v>0</v>
      </c>
    </row>
    <row r="23" spans="2:33" ht="40" customHeight="1" thickBot="1" x14ac:dyDescent="0.3">
      <c r="B23" s="326"/>
      <c r="C23" s="368" t="s">
        <v>828</v>
      </c>
      <c r="D23" s="368"/>
      <c r="E23" s="368"/>
      <c r="F23" s="386"/>
      <c r="G23" s="386"/>
      <c r="H23" s="340" t="s">
        <v>42</v>
      </c>
      <c r="I23" s="340"/>
      <c r="J23" s="270"/>
      <c r="K23" s="270"/>
      <c r="L23" s="270"/>
      <c r="M23" s="270"/>
      <c r="N23" s="339"/>
      <c r="O23" s="339"/>
      <c r="P23" s="339"/>
      <c r="Q23" s="339"/>
      <c r="S23" s="75">
        <f t="shared" si="1"/>
        <v>0</v>
      </c>
      <c r="T23" s="75">
        <f t="shared" si="2"/>
        <v>0</v>
      </c>
      <c r="U23" s="75">
        <f t="shared" si="3"/>
        <v>0</v>
      </c>
      <c r="V23" s="75">
        <f t="shared" si="4"/>
        <v>0</v>
      </c>
      <c r="W23" s="75">
        <f t="shared" si="5"/>
        <v>0</v>
      </c>
      <c r="X23" s="75"/>
    </row>
    <row r="24" spans="2:33" ht="40" customHeight="1" thickBot="1" x14ac:dyDescent="0.3">
      <c r="B24" s="325">
        <v>4</v>
      </c>
      <c r="C24" s="393" t="s">
        <v>1031</v>
      </c>
      <c r="D24" s="393"/>
      <c r="E24" s="393"/>
      <c r="F24" s="361" t="s">
        <v>840</v>
      </c>
      <c r="G24" s="362"/>
      <c r="H24" s="365" t="s">
        <v>42</v>
      </c>
      <c r="I24" s="365"/>
      <c r="J24" s="351" t="s">
        <v>1002</v>
      </c>
      <c r="K24" s="352"/>
      <c r="L24" s="352"/>
      <c r="M24" s="352"/>
      <c r="N24" s="401"/>
      <c r="O24" s="401"/>
      <c r="P24" s="401"/>
      <c r="Q24" s="401"/>
      <c r="S24" s="49">
        <f t="shared" si="1"/>
        <v>0</v>
      </c>
      <c r="T24" s="49">
        <f t="shared" si="2"/>
        <v>0</v>
      </c>
      <c r="U24" s="49">
        <f t="shared" si="3"/>
        <v>0</v>
      </c>
      <c r="V24" s="49">
        <f t="shared" si="4"/>
        <v>0</v>
      </c>
      <c r="W24" s="49">
        <f t="shared" si="5"/>
        <v>0</v>
      </c>
      <c r="X24" s="143">
        <f>IFERROR(SUM(T24:W27)/COUNTIF(H24:H27,"&lt;&gt;Nicht anwendbar"),"n.a.")</f>
        <v>0</v>
      </c>
      <c r="Y24" s="48">
        <f>IF(Y20=1,X24,0)</f>
        <v>0</v>
      </c>
    </row>
    <row r="25" spans="2:33" ht="40" customHeight="1" thickBot="1" x14ac:dyDescent="0.3">
      <c r="B25" s="323"/>
      <c r="C25" s="330" t="s">
        <v>829</v>
      </c>
      <c r="D25" s="330"/>
      <c r="E25" s="330"/>
      <c r="F25" s="307"/>
      <c r="G25" s="307"/>
      <c r="H25" s="366" t="s">
        <v>42</v>
      </c>
      <c r="I25" s="366"/>
      <c r="J25" s="286"/>
      <c r="K25" s="286"/>
      <c r="L25" s="286"/>
      <c r="M25" s="286"/>
      <c r="N25" s="222"/>
      <c r="O25" s="222"/>
      <c r="P25" s="222"/>
      <c r="Q25" s="222"/>
      <c r="S25" s="49">
        <f t="shared" si="1"/>
        <v>0</v>
      </c>
      <c r="T25" s="49">
        <f t="shared" si="2"/>
        <v>0</v>
      </c>
      <c r="U25" s="49">
        <f t="shared" si="3"/>
        <v>0</v>
      </c>
      <c r="V25" s="49">
        <f t="shared" si="4"/>
        <v>0</v>
      </c>
      <c r="W25" s="49">
        <f t="shared" si="5"/>
        <v>0</v>
      </c>
      <c r="X25" s="49"/>
    </row>
    <row r="26" spans="2:33" ht="40" customHeight="1" thickBot="1" x14ac:dyDescent="0.3">
      <c r="B26" s="323"/>
      <c r="C26" s="330" t="s">
        <v>830</v>
      </c>
      <c r="D26" s="330"/>
      <c r="E26" s="330"/>
      <c r="F26" s="307"/>
      <c r="G26" s="307"/>
      <c r="H26" s="366" t="s">
        <v>42</v>
      </c>
      <c r="I26" s="366"/>
      <c r="J26" s="286"/>
      <c r="K26" s="286"/>
      <c r="L26" s="286"/>
      <c r="M26" s="286"/>
      <c r="N26" s="339"/>
      <c r="O26" s="339"/>
      <c r="P26" s="339"/>
      <c r="Q26" s="339"/>
      <c r="S26" s="49">
        <f t="shared" si="1"/>
        <v>0</v>
      </c>
      <c r="T26" s="49">
        <f t="shared" si="2"/>
        <v>0</v>
      </c>
      <c r="U26" s="49">
        <f t="shared" si="3"/>
        <v>0</v>
      </c>
      <c r="V26" s="49">
        <f t="shared" si="4"/>
        <v>0</v>
      </c>
      <c r="W26" s="49">
        <f t="shared" si="5"/>
        <v>0</v>
      </c>
      <c r="X26" s="49"/>
    </row>
    <row r="27" spans="2:33" ht="40" customHeight="1" thickBot="1" x14ac:dyDescent="0.3">
      <c r="B27" s="323"/>
      <c r="C27" s="350" t="s">
        <v>831</v>
      </c>
      <c r="D27" s="350"/>
      <c r="E27" s="350"/>
      <c r="F27" s="308"/>
      <c r="G27" s="308"/>
      <c r="H27" s="340" t="s">
        <v>42</v>
      </c>
      <c r="I27" s="340"/>
      <c r="J27" s="275"/>
      <c r="K27" s="275"/>
      <c r="L27" s="275"/>
      <c r="M27" s="275"/>
      <c r="N27" s="339"/>
      <c r="O27" s="339"/>
      <c r="P27" s="339"/>
      <c r="Q27" s="339"/>
      <c r="S27" s="149">
        <f t="shared" si="1"/>
        <v>0</v>
      </c>
      <c r="T27" s="149">
        <f t="shared" si="2"/>
        <v>0</v>
      </c>
      <c r="U27" s="149">
        <f t="shared" si="3"/>
        <v>0</v>
      </c>
      <c r="V27" s="149">
        <f t="shared" si="4"/>
        <v>0</v>
      </c>
      <c r="W27" s="149">
        <f t="shared" si="5"/>
        <v>0</v>
      </c>
      <c r="X27" s="149"/>
    </row>
    <row r="28" spans="2:33" ht="40" customHeight="1" thickBot="1" x14ac:dyDescent="0.3">
      <c r="B28" s="325">
        <v>5</v>
      </c>
      <c r="C28" s="393" t="s">
        <v>1032</v>
      </c>
      <c r="D28" s="393"/>
      <c r="E28" s="393"/>
      <c r="F28" s="361" t="s">
        <v>841</v>
      </c>
      <c r="G28" s="362"/>
      <c r="H28" s="365" t="s">
        <v>42</v>
      </c>
      <c r="I28" s="365"/>
      <c r="J28" s="351" t="s">
        <v>1003</v>
      </c>
      <c r="K28" s="352"/>
      <c r="L28" s="352"/>
      <c r="M28" s="352"/>
      <c r="N28" s="401"/>
      <c r="O28" s="401"/>
      <c r="P28" s="401"/>
      <c r="Q28" s="401"/>
      <c r="S28" s="157">
        <f t="shared" si="1"/>
        <v>0</v>
      </c>
      <c r="T28" s="157">
        <f t="shared" si="2"/>
        <v>0</v>
      </c>
      <c r="U28" s="157">
        <f t="shared" si="3"/>
        <v>0</v>
      </c>
      <c r="V28" s="157">
        <f t="shared" si="4"/>
        <v>0</v>
      </c>
      <c r="W28" s="157">
        <f t="shared" si="5"/>
        <v>0</v>
      </c>
      <c r="X28" s="143">
        <f>IFERROR(SUM(T28:W30)/COUNTIF(H28:H30,"&lt;&gt;Nicht anwendbar"),"n.a.")</f>
        <v>0</v>
      </c>
      <c r="Y28" s="48">
        <f>IF(Y24=1,X28,0)</f>
        <v>0</v>
      </c>
    </row>
    <row r="29" spans="2:33" ht="40" customHeight="1" thickBot="1" x14ac:dyDescent="0.3">
      <c r="B29" s="323"/>
      <c r="C29" s="330" t="s">
        <v>833</v>
      </c>
      <c r="D29" s="330"/>
      <c r="E29" s="330"/>
      <c r="F29" s="350"/>
      <c r="G29" s="307"/>
      <c r="H29" s="366" t="s">
        <v>42</v>
      </c>
      <c r="I29" s="366"/>
      <c r="J29" s="286"/>
      <c r="K29" s="286"/>
      <c r="L29" s="286"/>
      <c r="M29" s="286"/>
      <c r="N29" s="339"/>
      <c r="O29" s="339"/>
      <c r="P29" s="339"/>
      <c r="Q29" s="339"/>
      <c r="S29" s="49">
        <f t="shared" si="1"/>
        <v>0</v>
      </c>
      <c r="T29" s="49">
        <f t="shared" si="2"/>
        <v>0</v>
      </c>
      <c r="U29" s="49">
        <f t="shared" ref="U29" si="6">IF(H29="In den meisten Fällen",0.75,0)</f>
        <v>0</v>
      </c>
      <c r="V29" s="49">
        <f t="shared" ref="V29" si="7">IF(H29="In ein Paar Fällen",0.5,0)</f>
        <v>0</v>
      </c>
      <c r="W29" s="49">
        <f t="shared" ref="W29" si="8">IF(H29="Gar nicht",0,0)</f>
        <v>0</v>
      </c>
      <c r="X29" s="49"/>
    </row>
    <row r="30" spans="2:33" ht="40" customHeight="1" thickBot="1" x14ac:dyDescent="0.3">
      <c r="B30" s="326"/>
      <c r="C30" s="310" t="s">
        <v>832</v>
      </c>
      <c r="D30" s="310"/>
      <c r="E30" s="310"/>
      <c r="F30" s="308"/>
      <c r="G30" s="308"/>
      <c r="H30" s="340" t="s">
        <v>42</v>
      </c>
      <c r="I30" s="340"/>
      <c r="J30" s="275"/>
      <c r="K30" s="275"/>
      <c r="L30" s="275"/>
      <c r="M30" s="275"/>
      <c r="N30" s="414"/>
      <c r="O30" s="414"/>
      <c r="P30" s="414"/>
      <c r="Q30" s="414"/>
      <c r="S30" s="149">
        <f t="shared" si="1"/>
        <v>0</v>
      </c>
      <c r="T30" s="149">
        <f t="shared" si="2"/>
        <v>0</v>
      </c>
      <c r="U30" s="149">
        <f t="shared" si="3"/>
        <v>0</v>
      </c>
      <c r="V30" s="149">
        <f t="shared" si="4"/>
        <v>0</v>
      </c>
      <c r="W30" s="149">
        <f t="shared" si="5"/>
        <v>0</v>
      </c>
      <c r="X30" s="149"/>
    </row>
  </sheetData>
  <sheetProtection formatCells="0"/>
  <protectedRanges>
    <protectedRange sqref="N31:Q32" name="Bereich1"/>
    <protectedRange sqref="N20:Q20 N24:Q24 N28:Q28" name="Bereich1_1"/>
  </protectedRanges>
  <mergeCells count="70">
    <mergeCell ref="J24:M27"/>
    <mergeCell ref="J28:M30"/>
    <mergeCell ref="B28:B30"/>
    <mergeCell ref="C28:E28"/>
    <mergeCell ref="F28:G30"/>
    <mergeCell ref="H28:I28"/>
    <mergeCell ref="C30:E30"/>
    <mergeCell ref="H30:I30"/>
    <mergeCell ref="C29:E29"/>
    <mergeCell ref="H29:I29"/>
    <mergeCell ref="H24:I24"/>
    <mergeCell ref="H25:I25"/>
    <mergeCell ref="H26:I26"/>
    <mergeCell ref="H27:I27"/>
    <mergeCell ref="B24:B27"/>
    <mergeCell ref="C24:E24"/>
    <mergeCell ref="F24:G27"/>
    <mergeCell ref="C25:E25"/>
    <mergeCell ref="C26:E26"/>
    <mergeCell ref="C27:E27"/>
    <mergeCell ref="B17:B19"/>
    <mergeCell ref="C22:E22"/>
    <mergeCell ref="B20:B23"/>
    <mergeCell ref="C20:E20"/>
    <mergeCell ref="F20:G23"/>
    <mergeCell ref="C21:E21"/>
    <mergeCell ref="H21:I21"/>
    <mergeCell ref="H23:I23"/>
    <mergeCell ref="H20:I20"/>
    <mergeCell ref="C23:E23"/>
    <mergeCell ref="J17:M19"/>
    <mergeCell ref="J20:M23"/>
    <mergeCell ref="H22:I22"/>
    <mergeCell ref="C16:E16"/>
    <mergeCell ref="F16:G16"/>
    <mergeCell ref="H16:I16"/>
    <mergeCell ref="J16:M16"/>
    <mergeCell ref="C17:E17"/>
    <mergeCell ref="F17:G19"/>
    <mergeCell ref="H17:I17"/>
    <mergeCell ref="C18:E18"/>
    <mergeCell ref="H18:I18"/>
    <mergeCell ref="H19:I19"/>
    <mergeCell ref="C19:E19"/>
    <mergeCell ref="B15:M15"/>
    <mergeCell ref="B4:M4"/>
    <mergeCell ref="C6:G6"/>
    <mergeCell ref="C7:M7"/>
    <mergeCell ref="C8:M8"/>
    <mergeCell ref="C9:M9"/>
    <mergeCell ref="C10:M10"/>
    <mergeCell ref="C14:E14"/>
    <mergeCell ref="F14:G14"/>
    <mergeCell ref="H14:I14"/>
    <mergeCell ref="J14:M14"/>
    <mergeCell ref="N14:Q14"/>
    <mergeCell ref="N16:Q16"/>
    <mergeCell ref="N17:Q17"/>
    <mergeCell ref="N18:Q18"/>
    <mergeCell ref="N19:Q19"/>
    <mergeCell ref="N20:Q20"/>
    <mergeCell ref="N21:Q21"/>
    <mergeCell ref="N22:Q22"/>
    <mergeCell ref="N23:Q23"/>
    <mergeCell ref="N24:Q24"/>
    <mergeCell ref="N26:Q26"/>
    <mergeCell ref="N27:Q27"/>
    <mergeCell ref="N28:Q28"/>
    <mergeCell ref="N30:Q30"/>
    <mergeCell ref="N29:Q29"/>
  </mergeCells>
  <conditionalFormatting sqref="H16:I28 H30:I30">
    <cfRule type="containsText" dxfId="12" priority="2" operator="containsText" text="Bitte auswählen">
      <formula>NOT(ISERROR(SEARCH("Bitte auswählen",H16)))</formula>
    </cfRule>
  </conditionalFormatting>
  <conditionalFormatting sqref="H29:I29">
    <cfRule type="containsText" dxfId="11" priority="1" operator="containsText" text="Bitte auswählen">
      <formula>NOT(ISERROR(SEARCH("Bitte auswählen",H29)))</formula>
    </cfRule>
  </conditionalFormatting>
  <dataValidations xWindow="749" yWindow="400" count="2">
    <dataValidation allowBlank="1" showInputMessage="1" showErrorMessage="1" promptTitle="[+] Klicken" prompt="Hier können Sie sich erweiterte Informationen zu dem Prozess anzeigen lassen." sqref="A11" xr:uid="{46CD702A-5B65-44EE-9BA5-28B58BF37D32}"/>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659FCEC6-4B20-44BD-B378-AB889A58F6D5}"/>
  </dataValidations>
  <hyperlinks>
    <hyperlink ref="C24:E24" location="Glossar!A1" display="Sind zentrale Systeme (z. B. ERP, CMS, PDM) technisch integriert, sodass Übergaben automatisiert erfolgen?" xr:uid="{24C856A5-1B6B-469C-8F5C-00729A00465A}"/>
    <hyperlink ref="C28:E28" location="Glossar!A1" display="Sind alle relevanten Systeme vollständig integriert über eine durchgängige Architektur (z. B. APIs, Middleware)?" xr:uid="{527CB8FD-5847-4A5A-A27E-42AACD9ADF75}"/>
  </hyperlink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749" yWindow="400" count="1">
        <x14:dataValidation type="list" allowBlank="1" showInputMessage="1" showErrorMessage="1" xr:uid="{F2B63A10-ACC5-4200-861E-44CB3B4A3050}">
          <x14:formula1>
            <xm:f>Data!$I$3:$I$8</xm:f>
          </x14:formula1>
          <xm:sqref>H16:I30</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96CEE-9D6E-453A-A0A5-E04B6AF4F253}">
  <sheetPr>
    <tabColor theme="5"/>
    <pageSetUpPr fitToPage="1"/>
  </sheetPr>
  <dimension ref="B4:AG30"/>
  <sheetViews>
    <sheetView showGridLines="0" zoomScale="90" zoomScaleNormal="90" zoomScalePageLayoutView="85" workbookViewId="0"/>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68.54296875" style="48" hidden="1" customWidth="1" outlineLevel="1"/>
    <col min="7" max="7" width="26.453125" style="48" hidden="1" customWidth="1" outlineLevel="1"/>
    <col min="8" max="8" width="11.453125" style="48" collapsed="1"/>
    <col min="9" max="10" width="11.453125" style="48"/>
    <col min="11" max="11" width="13.26953125" style="48" customWidth="1"/>
    <col min="12" max="12" width="11.453125" style="48"/>
    <col min="13" max="13" width="23.7265625" style="48" customWidth="1"/>
    <col min="14" max="14" width="11.453125" style="48"/>
    <col min="15" max="15" width="13.26953125" style="48" customWidth="1"/>
    <col min="16" max="16" width="11.453125" style="48"/>
    <col min="17" max="17" width="24.81640625" style="48" customWidth="1"/>
    <col min="18" max="18" width="11.453125" style="49"/>
    <col min="19" max="24" width="11.453125" style="48" customWidth="1"/>
    <col min="25" max="25" width="14" style="48" customWidth="1"/>
    <col min="26" max="32" width="11.453125" style="48" customWidth="1"/>
    <col min="33" max="33" width="11.453125" style="48" hidden="1" customWidth="1"/>
    <col min="34" max="16384" width="11.453125" style="48"/>
  </cols>
  <sheetData>
    <row r="4" spans="2:33" ht="14" x14ac:dyDescent="0.3">
      <c r="B4" s="290" t="s">
        <v>39</v>
      </c>
      <c r="C4" s="290"/>
      <c r="D4" s="290"/>
      <c r="E4" s="290"/>
      <c r="F4" s="290"/>
      <c r="G4" s="290"/>
      <c r="H4" s="290"/>
      <c r="I4" s="290"/>
      <c r="J4" s="290"/>
      <c r="K4" s="290"/>
      <c r="L4" s="290"/>
      <c r="M4" s="290"/>
      <c r="N4" s="216"/>
      <c r="O4" s="216"/>
      <c r="P4" s="216"/>
      <c r="Q4" s="216"/>
    </row>
    <row r="5" spans="2:33" ht="9" customHeight="1" x14ac:dyDescent="0.25"/>
    <row r="6" spans="2:33" ht="32.25" customHeight="1" thickBot="1" x14ac:dyDescent="0.3">
      <c r="B6" s="77" t="s">
        <v>137</v>
      </c>
      <c r="C6" s="293" t="s">
        <v>180</v>
      </c>
      <c r="D6" s="293"/>
      <c r="E6" s="293"/>
      <c r="F6" s="293"/>
      <c r="G6" s="293"/>
      <c r="H6" s="53"/>
      <c r="I6" s="53"/>
      <c r="J6" s="53"/>
      <c r="K6" s="53" t="s">
        <v>36</v>
      </c>
      <c r="L6" s="55">
        <f>ROUNDDOWN(Z16/0.25,0)*0.25</f>
        <v>0</v>
      </c>
      <c r="M6" s="54" t="str">
        <f>IF(L6&lt;1,"Unvollständig",IF(L6&lt;2,"Initial",IF(L6&lt;3,"Gemanagt",IF(L6&lt;4,"Definiert",IF(L6&lt;5,"Quantitativ gemanagt",IF(L6&lt;6,"Optimiert","Ausstehend"))))))</f>
        <v>Unvollständig</v>
      </c>
      <c r="N6" s="53"/>
      <c r="O6" s="53"/>
      <c r="P6" s="55"/>
      <c r="Q6" s="54"/>
    </row>
    <row r="7" spans="2:33" ht="35.25" hidden="1" customHeight="1" outlineLevel="1" x14ac:dyDescent="0.25">
      <c r="B7" s="76" t="s">
        <v>211</v>
      </c>
      <c r="C7" s="294" t="s">
        <v>842</v>
      </c>
      <c r="D7" s="295"/>
      <c r="E7" s="295"/>
      <c r="F7" s="295"/>
      <c r="G7" s="295"/>
      <c r="H7" s="295"/>
      <c r="I7" s="295"/>
      <c r="J7" s="295"/>
      <c r="K7" s="295"/>
      <c r="L7" s="295"/>
      <c r="M7" s="296"/>
      <c r="N7" s="218"/>
      <c r="O7" s="218"/>
      <c r="P7" s="218"/>
      <c r="Q7" s="218"/>
    </row>
    <row r="8" spans="2:33" ht="70.5" hidden="1" customHeight="1" outlineLevel="1" x14ac:dyDescent="0.25">
      <c r="B8" s="51" t="s">
        <v>212</v>
      </c>
      <c r="C8" s="297" t="s">
        <v>856</v>
      </c>
      <c r="D8" s="298"/>
      <c r="E8" s="298"/>
      <c r="F8" s="298"/>
      <c r="G8" s="298"/>
      <c r="H8" s="298"/>
      <c r="I8" s="298"/>
      <c r="J8" s="298"/>
      <c r="K8" s="298"/>
      <c r="L8" s="298"/>
      <c r="M8" s="299"/>
      <c r="N8" s="217"/>
      <c r="O8" s="217"/>
      <c r="P8" s="217"/>
      <c r="Q8" s="217"/>
    </row>
    <row r="9" spans="2:33" ht="75" hidden="1" customHeight="1" outlineLevel="1" x14ac:dyDescent="0.25">
      <c r="B9" s="51" t="s">
        <v>30</v>
      </c>
      <c r="C9" s="300" t="s">
        <v>857</v>
      </c>
      <c r="D9" s="301"/>
      <c r="E9" s="301"/>
      <c r="F9" s="301"/>
      <c r="G9" s="301"/>
      <c r="H9" s="301"/>
      <c r="I9" s="301"/>
      <c r="J9" s="301"/>
      <c r="K9" s="301"/>
      <c r="L9" s="301"/>
      <c r="M9" s="302"/>
      <c r="N9" s="218"/>
      <c r="O9" s="218"/>
      <c r="P9" s="218"/>
      <c r="Q9" s="218"/>
    </row>
    <row r="10" spans="2:33" ht="65.25" hidden="1" customHeight="1" outlineLevel="1" x14ac:dyDescent="0.25">
      <c r="B10" s="51" t="s">
        <v>31</v>
      </c>
      <c r="C10" s="300" t="s">
        <v>858</v>
      </c>
      <c r="D10" s="301"/>
      <c r="E10" s="301"/>
      <c r="F10" s="301"/>
      <c r="G10" s="301"/>
      <c r="H10" s="301"/>
      <c r="I10" s="301"/>
      <c r="J10" s="301"/>
      <c r="K10" s="301"/>
      <c r="L10" s="301"/>
      <c r="M10" s="302"/>
      <c r="N10" s="218"/>
      <c r="O10" s="218"/>
      <c r="P10" s="218"/>
      <c r="Q10" s="218"/>
    </row>
    <row r="11" spans="2:33" collapsed="1" x14ac:dyDescent="0.25"/>
    <row r="12" spans="2:33" ht="13" x14ac:dyDescent="0.3">
      <c r="B12" s="50" t="s">
        <v>33</v>
      </c>
      <c r="C12" s="49"/>
    </row>
    <row r="13" spans="2:33" ht="6.75" customHeight="1" x14ac:dyDescent="0.25"/>
    <row r="14" spans="2:33" ht="21.75" customHeight="1" x14ac:dyDescent="0.25">
      <c r="B14" s="52" t="s">
        <v>34</v>
      </c>
      <c r="C14" s="353" t="s">
        <v>37</v>
      </c>
      <c r="D14" s="354"/>
      <c r="E14" s="355"/>
      <c r="F14" s="341" t="s">
        <v>67</v>
      </c>
      <c r="G14" s="356"/>
      <c r="H14" s="341" t="s">
        <v>3</v>
      </c>
      <c r="I14" s="356"/>
      <c r="J14" s="341" t="s">
        <v>886</v>
      </c>
      <c r="K14" s="342"/>
      <c r="L14" s="342"/>
      <c r="M14" s="342"/>
      <c r="N14" s="341" t="s">
        <v>38</v>
      </c>
      <c r="O14" s="342"/>
      <c r="P14" s="342"/>
      <c r="Q14" s="342"/>
      <c r="S14" s="149"/>
      <c r="T14" s="149" t="s">
        <v>35</v>
      </c>
      <c r="U14" s="149"/>
      <c r="V14" s="149"/>
      <c r="W14" s="149"/>
      <c r="X14" s="149"/>
      <c r="Y14" s="149" t="s">
        <v>45</v>
      </c>
      <c r="Z14" s="149" t="s">
        <v>44</v>
      </c>
    </row>
    <row r="15" spans="2:33" ht="1.5" customHeight="1" x14ac:dyDescent="0.3">
      <c r="B15" s="314"/>
      <c r="C15" s="314"/>
      <c r="D15" s="314"/>
      <c r="E15" s="314"/>
      <c r="F15" s="314"/>
      <c r="G15" s="314"/>
      <c r="H15" s="314"/>
      <c r="I15" s="314"/>
      <c r="J15" s="314"/>
      <c r="K15" s="314"/>
      <c r="L15" s="314"/>
      <c r="M15" s="314"/>
      <c r="N15" s="219"/>
      <c r="O15" s="219"/>
      <c r="P15" s="219"/>
      <c r="Q15" s="219"/>
    </row>
    <row r="16" spans="2:33" ht="40" customHeight="1" thickBot="1" x14ac:dyDescent="0.35">
      <c r="B16" s="182">
        <v>1</v>
      </c>
      <c r="C16" s="310" t="s">
        <v>843</v>
      </c>
      <c r="D16" s="310"/>
      <c r="E16" s="310"/>
      <c r="F16" s="310" t="s">
        <v>859</v>
      </c>
      <c r="G16" s="310"/>
      <c r="H16" s="340" t="s">
        <v>42</v>
      </c>
      <c r="I16" s="340"/>
      <c r="J16" s="340" t="s">
        <v>29</v>
      </c>
      <c r="K16" s="340"/>
      <c r="L16" s="340"/>
      <c r="M16" s="340"/>
      <c r="N16" s="415"/>
      <c r="O16" s="415"/>
      <c r="P16" s="415"/>
      <c r="Q16" s="415"/>
      <c r="S16" s="74">
        <f>IF(H16="Nicht anwendbar","n.a.",0)</f>
        <v>0</v>
      </c>
      <c r="T16" s="75">
        <f>IF(H16="Vollständig",1,0)</f>
        <v>0</v>
      </c>
      <c r="U16" s="75">
        <f>IF(H16="In den meisten Fällen",0.75,0)</f>
        <v>0</v>
      </c>
      <c r="V16" s="75">
        <f>IF(H16="In ein Paar Fällen",0.5,0)</f>
        <v>0</v>
      </c>
      <c r="W16" s="75">
        <f>IF(H16="Gar nicht",0,0)</f>
        <v>0</v>
      </c>
      <c r="X16" s="143">
        <f>IF(S16&gt;0,"n.a.",SUM(S16:W16))</f>
        <v>0</v>
      </c>
      <c r="Y16" s="48">
        <f>X16</f>
        <v>0</v>
      </c>
      <c r="Z16" s="48">
        <f>IF(Y16&lt;&gt;"n.a.",SUM(Y16,Y17,Y20,Y24,Y28),NA())</f>
        <v>0</v>
      </c>
      <c r="AG16" s="49" t="str">
        <f t="shared" ref="AG16:AG19" si="0">IF(X16&gt;0.5,"Umgesetzt","Nicht umgesetzt")</f>
        <v>Nicht umgesetzt</v>
      </c>
    </row>
    <row r="17" spans="2:33" ht="40" customHeight="1" thickBot="1" x14ac:dyDescent="0.3">
      <c r="B17" s="325">
        <v>2</v>
      </c>
      <c r="C17" s="343" t="s">
        <v>844</v>
      </c>
      <c r="D17" s="343"/>
      <c r="E17" s="343"/>
      <c r="F17" s="361" t="s">
        <v>860</v>
      </c>
      <c r="G17" s="362"/>
      <c r="H17" s="365" t="s">
        <v>42</v>
      </c>
      <c r="I17" s="365"/>
      <c r="J17" s="351" t="s">
        <v>1004</v>
      </c>
      <c r="K17" s="352"/>
      <c r="L17" s="352"/>
      <c r="M17" s="352"/>
      <c r="N17" s="339"/>
      <c r="O17" s="339"/>
      <c r="P17" s="339"/>
      <c r="Q17" s="339"/>
      <c r="S17" s="49">
        <f t="shared" ref="S17:S30" si="1">IF(H17="Nicht anwendbar","n.a.",0)</f>
        <v>0</v>
      </c>
      <c r="T17" s="49">
        <f t="shared" ref="T17:T30" si="2">IF(H17="Vollständig",1,0)</f>
        <v>0</v>
      </c>
      <c r="U17" s="49">
        <f>IF(H17="In den meisten Fällen",0.75,0)</f>
        <v>0</v>
      </c>
      <c r="V17" s="49">
        <f>IF(H17="In ein Paar Fällen",0.5,0)</f>
        <v>0</v>
      </c>
      <c r="W17" s="49">
        <f>IF(H17="Gar nicht",0,0)</f>
        <v>0</v>
      </c>
      <c r="X17" s="143">
        <f>IFERROR(SUM(T17:W19)/COUNTIF(H17:H19,"&lt;&gt;Nicht anwendbar"),"n.a.")</f>
        <v>0</v>
      </c>
      <c r="Y17" s="48">
        <f>IF(X16=1,X17,0)</f>
        <v>0</v>
      </c>
      <c r="AG17" s="49" t="str">
        <f t="shared" si="0"/>
        <v>Nicht umgesetzt</v>
      </c>
    </row>
    <row r="18" spans="2:33" ht="40" customHeight="1" thickBot="1" x14ac:dyDescent="0.3">
      <c r="B18" s="323"/>
      <c r="C18" s="330" t="s">
        <v>845</v>
      </c>
      <c r="D18" s="330"/>
      <c r="E18" s="330"/>
      <c r="F18" s="307"/>
      <c r="G18" s="307"/>
      <c r="H18" s="366" t="s">
        <v>42</v>
      </c>
      <c r="I18" s="366"/>
      <c r="J18" s="286"/>
      <c r="K18" s="286"/>
      <c r="L18" s="286"/>
      <c r="M18" s="286"/>
      <c r="N18" s="339"/>
      <c r="O18" s="339"/>
      <c r="P18" s="339"/>
      <c r="Q18" s="339"/>
      <c r="S18" s="49">
        <f t="shared" si="1"/>
        <v>0</v>
      </c>
      <c r="T18" s="49">
        <f t="shared" si="2"/>
        <v>0</v>
      </c>
      <c r="U18" s="49">
        <f t="shared" ref="U18:U30" si="3">IF(H18="In den meisten Fällen",0.75,0)</f>
        <v>0</v>
      </c>
      <c r="V18" s="49">
        <f t="shared" ref="V18:V30" si="4">IF(H18="In ein Paar Fällen",0.5,0)</f>
        <v>0</v>
      </c>
      <c r="W18" s="49">
        <f t="shared" ref="W18:W30" si="5">IF(H18="Gar nicht",0,0)</f>
        <v>0</v>
      </c>
      <c r="X18" s="49"/>
      <c r="AG18" s="49" t="str">
        <f t="shared" si="0"/>
        <v>Nicht umgesetzt</v>
      </c>
    </row>
    <row r="19" spans="2:33" ht="40" customHeight="1" thickBot="1" x14ac:dyDescent="0.3">
      <c r="B19" s="326"/>
      <c r="C19" s="308" t="s">
        <v>846</v>
      </c>
      <c r="D19" s="308"/>
      <c r="E19" s="308"/>
      <c r="F19" s="308"/>
      <c r="G19" s="308"/>
      <c r="H19" s="340" t="s">
        <v>42</v>
      </c>
      <c r="I19" s="340"/>
      <c r="J19" s="275"/>
      <c r="K19" s="275"/>
      <c r="L19" s="275"/>
      <c r="M19" s="275"/>
      <c r="N19" s="339"/>
      <c r="O19" s="339"/>
      <c r="P19" s="339"/>
      <c r="Q19" s="339"/>
      <c r="S19" s="75">
        <f t="shared" si="1"/>
        <v>0</v>
      </c>
      <c r="T19" s="75">
        <f t="shared" si="2"/>
        <v>0</v>
      </c>
      <c r="U19" s="75">
        <f t="shared" si="3"/>
        <v>0</v>
      </c>
      <c r="V19" s="75">
        <f t="shared" si="4"/>
        <v>0</v>
      </c>
      <c r="W19" s="75">
        <f t="shared" si="5"/>
        <v>0</v>
      </c>
      <c r="X19" s="75"/>
      <c r="AG19" s="49" t="str">
        <f t="shared" si="0"/>
        <v>Nicht umgesetzt</v>
      </c>
    </row>
    <row r="20" spans="2:33" ht="40" customHeight="1" thickBot="1" x14ac:dyDescent="0.3">
      <c r="B20" s="325">
        <v>3</v>
      </c>
      <c r="C20" s="344" t="s">
        <v>847</v>
      </c>
      <c r="D20" s="345"/>
      <c r="E20" s="345"/>
      <c r="F20" s="370" t="s">
        <v>861</v>
      </c>
      <c r="G20" s="371"/>
      <c r="H20" s="365" t="s">
        <v>42</v>
      </c>
      <c r="I20" s="365"/>
      <c r="J20" s="357" t="s">
        <v>1005</v>
      </c>
      <c r="K20" s="358"/>
      <c r="L20" s="358"/>
      <c r="M20" s="358"/>
      <c r="N20" s="401"/>
      <c r="O20" s="401"/>
      <c r="P20" s="401"/>
      <c r="Q20" s="401"/>
      <c r="S20" s="48">
        <f t="shared" si="1"/>
        <v>0</v>
      </c>
      <c r="T20" s="49">
        <f t="shared" si="2"/>
        <v>0</v>
      </c>
      <c r="U20" s="49">
        <f t="shared" si="3"/>
        <v>0</v>
      </c>
      <c r="V20" s="49">
        <f t="shared" si="4"/>
        <v>0</v>
      </c>
      <c r="W20" s="49">
        <f t="shared" si="5"/>
        <v>0</v>
      </c>
      <c r="X20" s="143">
        <f>IFERROR(SUM(T20:W23)/COUNTIF(H20:H23,"&lt;&gt;Nicht anwendbar"),"n.a.")</f>
        <v>0</v>
      </c>
      <c r="Y20" s="48">
        <f>IF(Y17=1,X20,0)</f>
        <v>0</v>
      </c>
    </row>
    <row r="21" spans="2:33" ht="40" customHeight="1" thickBot="1" x14ac:dyDescent="0.3">
      <c r="B21" s="323"/>
      <c r="C21" s="347" t="s">
        <v>848</v>
      </c>
      <c r="D21" s="348"/>
      <c r="E21" s="348"/>
      <c r="F21" s="337"/>
      <c r="G21" s="337"/>
      <c r="H21" s="366" t="s">
        <v>42</v>
      </c>
      <c r="I21" s="366"/>
      <c r="J21" s="282"/>
      <c r="K21" s="282"/>
      <c r="L21" s="282"/>
      <c r="M21" s="282"/>
      <c r="N21" s="339"/>
      <c r="O21" s="339"/>
      <c r="P21" s="339"/>
      <c r="Q21" s="339"/>
      <c r="S21" s="48">
        <f t="shared" si="1"/>
        <v>0</v>
      </c>
      <c r="T21" s="49">
        <f t="shared" si="2"/>
        <v>0</v>
      </c>
      <c r="U21" s="49">
        <f t="shared" si="3"/>
        <v>0</v>
      </c>
      <c r="V21" s="49">
        <f t="shared" si="4"/>
        <v>0</v>
      </c>
      <c r="W21" s="49">
        <f t="shared" si="5"/>
        <v>0</v>
      </c>
    </row>
    <row r="22" spans="2:33" ht="40" customHeight="1" thickBot="1" x14ac:dyDescent="0.3">
      <c r="B22" s="323"/>
      <c r="C22" s="347" t="s">
        <v>850</v>
      </c>
      <c r="D22" s="348"/>
      <c r="E22" s="348"/>
      <c r="F22" s="337"/>
      <c r="G22" s="337"/>
      <c r="H22" s="366" t="s">
        <v>42</v>
      </c>
      <c r="I22" s="366"/>
      <c r="J22" s="282"/>
      <c r="K22" s="282"/>
      <c r="L22" s="282"/>
      <c r="M22" s="282"/>
      <c r="N22" s="339"/>
      <c r="O22" s="339"/>
      <c r="P22" s="339"/>
      <c r="Q22" s="339"/>
      <c r="S22" s="48">
        <f t="shared" si="1"/>
        <v>0</v>
      </c>
      <c r="T22" s="49">
        <f t="shared" si="2"/>
        <v>0</v>
      </c>
      <c r="U22" s="49">
        <f t="shared" si="3"/>
        <v>0</v>
      </c>
      <c r="V22" s="49">
        <f t="shared" si="4"/>
        <v>0</v>
      </c>
      <c r="W22" s="49">
        <f t="shared" si="5"/>
        <v>0</v>
      </c>
    </row>
    <row r="23" spans="2:33" ht="40" customHeight="1" thickBot="1" x14ac:dyDescent="0.3">
      <c r="B23" s="326"/>
      <c r="C23" s="368" t="s">
        <v>849</v>
      </c>
      <c r="D23" s="368"/>
      <c r="E23" s="368"/>
      <c r="F23" s="386"/>
      <c r="G23" s="386"/>
      <c r="H23" s="340" t="s">
        <v>42</v>
      </c>
      <c r="I23" s="340"/>
      <c r="J23" s="270"/>
      <c r="K23" s="270"/>
      <c r="L23" s="270"/>
      <c r="M23" s="270"/>
      <c r="N23" s="339"/>
      <c r="O23" s="339"/>
      <c r="P23" s="339"/>
      <c r="Q23" s="339"/>
      <c r="S23" s="75">
        <f t="shared" si="1"/>
        <v>0</v>
      </c>
      <c r="T23" s="75">
        <f t="shared" si="2"/>
        <v>0</v>
      </c>
      <c r="U23" s="75">
        <f t="shared" si="3"/>
        <v>0</v>
      </c>
      <c r="V23" s="75">
        <f t="shared" si="4"/>
        <v>0</v>
      </c>
      <c r="W23" s="75">
        <f t="shared" si="5"/>
        <v>0</v>
      </c>
      <c r="X23" s="75"/>
    </row>
    <row r="24" spans="2:33" ht="40" customHeight="1" thickBot="1" x14ac:dyDescent="0.3">
      <c r="B24" s="325">
        <v>4</v>
      </c>
      <c r="C24" s="343" t="s">
        <v>851</v>
      </c>
      <c r="D24" s="343"/>
      <c r="E24" s="343"/>
      <c r="F24" s="361" t="s">
        <v>862</v>
      </c>
      <c r="G24" s="362"/>
      <c r="H24" s="365" t="s">
        <v>42</v>
      </c>
      <c r="I24" s="365"/>
      <c r="J24" s="351" t="s">
        <v>1006</v>
      </c>
      <c r="K24" s="352"/>
      <c r="L24" s="352"/>
      <c r="M24" s="352"/>
      <c r="N24" s="401"/>
      <c r="O24" s="401"/>
      <c r="P24" s="401"/>
      <c r="Q24" s="401"/>
      <c r="S24" s="49">
        <f t="shared" si="1"/>
        <v>0</v>
      </c>
      <c r="T24" s="49">
        <f t="shared" si="2"/>
        <v>0</v>
      </c>
      <c r="U24" s="49">
        <f t="shared" si="3"/>
        <v>0</v>
      </c>
      <c r="V24" s="49">
        <f t="shared" si="4"/>
        <v>0</v>
      </c>
      <c r="W24" s="49">
        <f t="shared" si="5"/>
        <v>0</v>
      </c>
      <c r="X24" s="143">
        <f>IFERROR(SUM(T24:W27)/COUNTIF(H24:H27,"&lt;&gt;Nicht anwendbar"),"n.a.")</f>
        <v>0</v>
      </c>
      <c r="Y24" s="48">
        <f>IF(Y20=1,X24,0)</f>
        <v>0</v>
      </c>
    </row>
    <row r="25" spans="2:33" ht="40" customHeight="1" thickBot="1" x14ac:dyDescent="0.3">
      <c r="B25" s="323"/>
      <c r="C25" s="417" t="s">
        <v>1035</v>
      </c>
      <c r="D25" s="417"/>
      <c r="E25" s="417"/>
      <c r="F25" s="307"/>
      <c r="G25" s="307"/>
      <c r="H25" s="366" t="s">
        <v>42</v>
      </c>
      <c r="I25" s="366"/>
      <c r="J25" s="286"/>
      <c r="K25" s="286"/>
      <c r="L25" s="286"/>
      <c r="M25" s="286"/>
      <c r="N25" s="222"/>
      <c r="O25" s="222"/>
      <c r="P25" s="222"/>
      <c r="Q25" s="222"/>
      <c r="S25" s="49">
        <f t="shared" si="1"/>
        <v>0</v>
      </c>
      <c r="T25" s="49">
        <f t="shared" si="2"/>
        <v>0</v>
      </c>
      <c r="U25" s="49">
        <f t="shared" si="3"/>
        <v>0</v>
      </c>
      <c r="V25" s="49">
        <f t="shared" si="4"/>
        <v>0</v>
      </c>
      <c r="W25" s="49">
        <f t="shared" si="5"/>
        <v>0</v>
      </c>
      <c r="X25" s="49"/>
    </row>
    <row r="26" spans="2:33" ht="40" customHeight="1" thickBot="1" x14ac:dyDescent="0.3">
      <c r="B26" s="323"/>
      <c r="C26" s="330" t="s">
        <v>864</v>
      </c>
      <c r="D26" s="330"/>
      <c r="E26" s="330"/>
      <c r="F26" s="307"/>
      <c r="G26" s="307"/>
      <c r="H26" s="366" t="s">
        <v>42</v>
      </c>
      <c r="I26" s="366"/>
      <c r="J26" s="286"/>
      <c r="K26" s="286"/>
      <c r="L26" s="286"/>
      <c r="M26" s="286"/>
      <c r="N26" s="339"/>
      <c r="O26" s="339"/>
      <c r="P26" s="339"/>
      <c r="Q26" s="339"/>
      <c r="S26" s="49">
        <f t="shared" si="1"/>
        <v>0</v>
      </c>
      <c r="T26" s="49">
        <f t="shared" si="2"/>
        <v>0</v>
      </c>
      <c r="U26" s="49">
        <f t="shared" si="3"/>
        <v>0</v>
      </c>
      <c r="V26" s="49">
        <f t="shared" si="4"/>
        <v>0</v>
      </c>
      <c r="W26" s="49">
        <f t="shared" si="5"/>
        <v>0</v>
      </c>
      <c r="X26" s="49"/>
    </row>
    <row r="27" spans="2:33" ht="40" customHeight="1" thickBot="1" x14ac:dyDescent="0.3">
      <c r="B27" s="323"/>
      <c r="C27" s="350" t="s">
        <v>852</v>
      </c>
      <c r="D27" s="350"/>
      <c r="E27" s="350"/>
      <c r="F27" s="308"/>
      <c r="G27" s="308"/>
      <c r="H27" s="340" t="s">
        <v>42</v>
      </c>
      <c r="I27" s="340"/>
      <c r="J27" s="275"/>
      <c r="K27" s="275"/>
      <c r="L27" s="275"/>
      <c r="M27" s="275"/>
      <c r="N27" s="339"/>
      <c r="O27" s="339"/>
      <c r="P27" s="339"/>
      <c r="Q27" s="339"/>
      <c r="S27" s="149">
        <f t="shared" si="1"/>
        <v>0</v>
      </c>
      <c r="T27" s="149">
        <f t="shared" si="2"/>
        <v>0</v>
      </c>
      <c r="U27" s="149">
        <f t="shared" si="3"/>
        <v>0</v>
      </c>
      <c r="V27" s="149">
        <f t="shared" si="4"/>
        <v>0</v>
      </c>
      <c r="W27" s="149">
        <f t="shared" si="5"/>
        <v>0</v>
      </c>
      <c r="X27" s="149"/>
    </row>
    <row r="28" spans="2:33" ht="40" customHeight="1" thickBot="1" x14ac:dyDescent="0.3">
      <c r="B28" s="325">
        <v>5</v>
      </c>
      <c r="C28" s="343" t="s">
        <v>853</v>
      </c>
      <c r="D28" s="343"/>
      <c r="E28" s="343"/>
      <c r="F28" s="361" t="s">
        <v>863</v>
      </c>
      <c r="G28" s="362"/>
      <c r="H28" s="365" t="s">
        <v>42</v>
      </c>
      <c r="I28" s="365"/>
      <c r="J28" s="351" t="s">
        <v>1007</v>
      </c>
      <c r="K28" s="352"/>
      <c r="L28" s="352"/>
      <c r="M28" s="352"/>
      <c r="N28" s="401"/>
      <c r="O28" s="401"/>
      <c r="P28" s="401"/>
      <c r="Q28" s="401"/>
      <c r="S28" s="157">
        <f t="shared" si="1"/>
        <v>0</v>
      </c>
      <c r="T28" s="157">
        <f t="shared" si="2"/>
        <v>0</v>
      </c>
      <c r="U28" s="157">
        <f t="shared" si="3"/>
        <v>0</v>
      </c>
      <c r="V28" s="157">
        <f t="shared" si="4"/>
        <v>0</v>
      </c>
      <c r="W28" s="157">
        <f t="shared" si="5"/>
        <v>0</v>
      </c>
      <c r="X28" s="143">
        <f>IFERROR(SUM(T28:W30)/COUNTIF(H28:H30,"&lt;&gt;Nicht anwendbar"),"n.a.")</f>
        <v>0</v>
      </c>
      <c r="Y28" s="48">
        <f>IF(Y24=1,X28,0)</f>
        <v>0</v>
      </c>
    </row>
    <row r="29" spans="2:33" ht="40" customHeight="1" thickBot="1" x14ac:dyDescent="0.3">
      <c r="B29" s="323"/>
      <c r="C29" s="330" t="s">
        <v>855</v>
      </c>
      <c r="D29" s="330"/>
      <c r="E29" s="330"/>
      <c r="F29" s="350"/>
      <c r="G29" s="307"/>
      <c r="H29" s="366" t="s">
        <v>42</v>
      </c>
      <c r="I29" s="366"/>
      <c r="J29" s="286"/>
      <c r="K29" s="286"/>
      <c r="L29" s="286"/>
      <c r="M29" s="286"/>
      <c r="N29" s="339"/>
      <c r="O29" s="339"/>
      <c r="P29" s="339"/>
      <c r="Q29" s="339"/>
      <c r="S29" s="49">
        <f t="shared" si="1"/>
        <v>0</v>
      </c>
      <c r="T29" s="49">
        <f t="shared" si="2"/>
        <v>0</v>
      </c>
      <c r="U29" s="49">
        <f t="shared" ref="U29" si="6">IF(H29="In den meisten Fällen",0.75,0)</f>
        <v>0</v>
      </c>
      <c r="V29" s="49">
        <f t="shared" ref="V29" si="7">IF(H29="In ein Paar Fällen",0.5,0)</f>
        <v>0</v>
      </c>
      <c r="W29" s="49">
        <f t="shared" ref="W29" si="8">IF(H29="Gar nicht",0,0)</f>
        <v>0</v>
      </c>
      <c r="X29" s="49"/>
    </row>
    <row r="30" spans="2:33" ht="40" customHeight="1" thickBot="1" x14ac:dyDescent="0.3">
      <c r="B30" s="326"/>
      <c r="C30" s="310" t="s">
        <v>854</v>
      </c>
      <c r="D30" s="310"/>
      <c r="E30" s="310"/>
      <c r="F30" s="308"/>
      <c r="G30" s="308"/>
      <c r="H30" s="340" t="s">
        <v>42</v>
      </c>
      <c r="I30" s="340"/>
      <c r="J30" s="275"/>
      <c r="K30" s="275"/>
      <c r="L30" s="275"/>
      <c r="M30" s="275"/>
      <c r="N30" s="414"/>
      <c r="O30" s="414"/>
      <c r="P30" s="414"/>
      <c r="Q30" s="414"/>
      <c r="S30" s="149">
        <f t="shared" si="1"/>
        <v>0</v>
      </c>
      <c r="T30" s="149">
        <f t="shared" si="2"/>
        <v>0</v>
      </c>
      <c r="U30" s="149">
        <f t="shared" si="3"/>
        <v>0</v>
      </c>
      <c r="V30" s="149">
        <f t="shared" si="4"/>
        <v>0</v>
      </c>
      <c r="W30" s="149">
        <f t="shared" si="5"/>
        <v>0</v>
      </c>
      <c r="X30" s="149"/>
    </row>
  </sheetData>
  <sheetProtection formatCells="0"/>
  <protectedRanges>
    <protectedRange sqref="N31:Q32" name="Bereich1"/>
    <protectedRange sqref="N20:Q20 N24:Q24 N28:Q28" name="Bereich1_1"/>
  </protectedRanges>
  <mergeCells count="70">
    <mergeCell ref="J20:M23"/>
    <mergeCell ref="J24:M27"/>
    <mergeCell ref="J28:M30"/>
    <mergeCell ref="B28:B30"/>
    <mergeCell ref="C28:E28"/>
    <mergeCell ref="F28:G30"/>
    <mergeCell ref="H28:I28"/>
    <mergeCell ref="C30:E30"/>
    <mergeCell ref="H30:I30"/>
    <mergeCell ref="C29:E29"/>
    <mergeCell ref="H29:I29"/>
    <mergeCell ref="B24:B27"/>
    <mergeCell ref="C24:E24"/>
    <mergeCell ref="F24:G27"/>
    <mergeCell ref="H24:I24"/>
    <mergeCell ref="C25:E25"/>
    <mergeCell ref="C26:E26"/>
    <mergeCell ref="C27:E27"/>
    <mergeCell ref="H27:I27"/>
    <mergeCell ref="H25:I25"/>
    <mergeCell ref="H26:I26"/>
    <mergeCell ref="C23:E23"/>
    <mergeCell ref="H23:I23"/>
    <mergeCell ref="B17:B19"/>
    <mergeCell ref="C22:E22"/>
    <mergeCell ref="H22:I22"/>
    <mergeCell ref="B20:B23"/>
    <mergeCell ref="C20:E20"/>
    <mergeCell ref="F20:G23"/>
    <mergeCell ref="C21:E21"/>
    <mergeCell ref="H21:I21"/>
    <mergeCell ref="H20:I20"/>
    <mergeCell ref="J17:M19"/>
    <mergeCell ref="C16:E16"/>
    <mergeCell ref="F16:G16"/>
    <mergeCell ref="H16:I16"/>
    <mergeCell ref="J16:M16"/>
    <mergeCell ref="C17:E17"/>
    <mergeCell ref="F17:G19"/>
    <mergeCell ref="H17:I17"/>
    <mergeCell ref="C18:E18"/>
    <mergeCell ref="H18:I18"/>
    <mergeCell ref="H19:I19"/>
    <mergeCell ref="C19:E19"/>
    <mergeCell ref="B15:M15"/>
    <mergeCell ref="B4:M4"/>
    <mergeCell ref="C6:G6"/>
    <mergeCell ref="C7:M7"/>
    <mergeCell ref="C8:M8"/>
    <mergeCell ref="C9:M9"/>
    <mergeCell ref="C10:M10"/>
    <mergeCell ref="C14:E14"/>
    <mergeCell ref="F14:G14"/>
    <mergeCell ref="H14:I14"/>
    <mergeCell ref="J14:M14"/>
    <mergeCell ref="N14:Q14"/>
    <mergeCell ref="N16:Q16"/>
    <mergeCell ref="N17:Q17"/>
    <mergeCell ref="N18:Q18"/>
    <mergeCell ref="N19:Q19"/>
    <mergeCell ref="N20:Q20"/>
    <mergeCell ref="N21:Q21"/>
    <mergeCell ref="N22:Q22"/>
    <mergeCell ref="N23:Q23"/>
    <mergeCell ref="N24:Q24"/>
    <mergeCell ref="N26:Q26"/>
    <mergeCell ref="N27:Q27"/>
    <mergeCell ref="N28:Q28"/>
    <mergeCell ref="N29:Q29"/>
    <mergeCell ref="N30:Q30"/>
  </mergeCells>
  <conditionalFormatting sqref="H30:I30 H16:I28">
    <cfRule type="containsText" dxfId="10" priority="2" operator="containsText" text="Bitte auswählen">
      <formula>NOT(ISERROR(SEARCH("Bitte auswählen",H16)))</formula>
    </cfRule>
  </conditionalFormatting>
  <conditionalFormatting sqref="H29:I29">
    <cfRule type="containsText" dxfId="9" priority="1" operator="containsText" text="Bitte auswählen">
      <formula>NOT(ISERROR(SEARCH("Bitte auswählen",H29)))</formula>
    </cfRule>
  </conditionalFormatting>
  <dataValidations xWindow="747" yWindow="399" count="2">
    <dataValidation allowBlank="1" showInputMessage="1" showErrorMessage="1" promptTitle="[+] Klicken" prompt="Hier können Sie sich erweiterte Informationen zu dem Prozess anzeigen lassen." sqref="A11" xr:uid="{96080F9C-BD1B-408D-8EE5-1A8996045B37}"/>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011E33E2-F549-4E57-B4E6-D5264E3CD4A2}"/>
  </dataValidations>
  <hyperlinks>
    <hyperlink ref="C25:E25" location="Glossar!A1" display="Erfolgt der externe Austausch über interoperable Standards (z. B. iiRDS, ECLASS, OPC UA)?" xr:uid="{5C2D2ED7-6F05-4D5E-B1FE-03D5E5BA2969}"/>
  </hyperlinks>
  <pageMargins left="0.23622047244094491" right="0.23622047244094491" top="0.74803149606299213" bottom="0.74803149606299213" header="0.31496062992125984" footer="0.31496062992125984"/>
  <pageSetup paperSize="9" scale="46" orientation="landscape" horizontalDpi="4294967293"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747" yWindow="399" count="1">
        <x14:dataValidation type="list" allowBlank="1" showInputMessage="1" showErrorMessage="1" xr:uid="{7FD17254-1002-409A-B9F7-5F540AF8F634}">
          <x14:formula1>
            <xm:f>Data!$I$3:$I$8</xm:f>
          </x14:formula1>
          <xm:sqref>H16:I30</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662AA-93B5-43F9-BA58-4470A1A0A978}">
  <sheetPr>
    <tabColor theme="5"/>
    <pageSetUpPr fitToPage="1"/>
  </sheetPr>
  <dimension ref="B4:AG28"/>
  <sheetViews>
    <sheetView showGridLines="0" zoomScale="90" zoomScaleNormal="90" zoomScalePageLayoutView="85" workbookViewId="0"/>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68.54296875" style="48" hidden="1" customWidth="1" outlineLevel="1"/>
    <col min="7" max="7" width="26.453125" style="48" hidden="1" customWidth="1" outlineLevel="1"/>
    <col min="8" max="8" width="11.453125" style="48" collapsed="1"/>
    <col min="9" max="10" width="11.453125" style="48"/>
    <col min="11" max="11" width="13.26953125" style="48" customWidth="1"/>
    <col min="12" max="12" width="11.453125" style="48"/>
    <col min="13" max="13" width="28.26953125" style="48" customWidth="1"/>
    <col min="14" max="14" width="11.453125" style="48"/>
    <col min="15" max="15" width="13.26953125" style="48" customWidth="1"/>
    <col min="16" max="16" width="11.453125" style="48"/>
    <col min="17" max="17" width="24.81640625" style="48" customWidth="1"/>
    <col min="18" max="18" width="11.453125" style="49"/>
    <col min="19" max="24" width="11.453125" style="48" customWidth="1"/>
    <col min="25" max="25" width="14" style="48" customWidth="1"/>
    <col min="26" max="32" width="11.453125" style="48" customWidth="1"/>
    <col min="33" max="33" width="11.453125" style="48" hidden="1" customWidth="1"/>
    <col min="34" max="16384" width="11.453125" style="48"/>
  </cols>
  <sheetData>
    <row r="4" spans="2:33" ht="14" x14ac:dyDescent="0.3">
      <c r="B4" s="290" t="s">
        <v>39</v>
      </c>
      <c r="C4" s="290"/>
      <c r="D4" s="290"/>
      <c r="E4" s="290"/>
      <c r="F4" s="290"/>
      <c r="G4" s="290"/>
      <c r="H4" s="290"/>
      <c r="I4" s="290"/>
      <c r="J4" s="290"/>
      <c r="K4" s="290"/>
      <c r="L4" s="290"/>
      <c r="M4" s="290"/>
      <c r="N4" s="216"/>
      <c r="O4" s="216"/>
      <c r="P4" s="216"/>
      <c r="Q4" s="216"/>
    </row>
    <row r="5" spans="2:33" ht="9" customHeight="1" x14ac:dyDescent="0.25"/>
    <row r="6" spans="2:33" ht="32.25" customHeight="1" thickBot="1" x14ac:dyDescent="0.3">
      <c r="B6" s="77" t="s">
        <v>150</v>
      </c>
      <c r="C6" s="293" t="s">
        <v>181</v>
      </c>
      <c r="D6" s="293"/>
      <c r="E6" s="293"/>
      <c r="F6" s="293"/>
      <c r="G6" s="293"/>
      <c r="H6" s="53"/>
      <c r="I6" s="53"/>
      <c r="J6" s="53"/>
      <c r="K6" s="53" t="s">
        <v>36</v>
      </c>
      <c r="L6" s="55">
        <f>ROUNDDOWN(Z16/0.25,0)*0.25</f>
        <v>0</v>
      </c>
      <c r="M6" s="54" t="str">
        <f>IF(L6&lt;1,"Unvollständig",IF(L6&lt;2,"Initial",IF(L6&lt;3,"Gemanagt",IF(L6&lt;4,"Definiert",IF(L6&lt;5,"Quantitativ gemanagt",IF(L6&lt;6,"Optimiert","Ausstehend"))))))</f>
        <v>Unvollständig</v>
      </c>
      <c r="N6" s="53"/>
      <c r="O6" s="53"/>
      <c r="P6" s="55"/>
      <c r="Q6" s="54"/>
    </row>
    <row r="7" spans="2:33" ht="35.25" hidden="1" customHeight="1" outlineLevel="1" x14ac:dyDescent="0.25">
      <c r="B7" s="76" t="s">
        <v>211</v>
      </c>
      <c r="C7" s="294" t="s">
        <v>700</v>
      </c>
      <c r="D7" s="295"/>
      <c r="E7" s="295"/>
      <c r="F7" s="295"/>
      <c r="G7" s="295"/>
      <c r="H7" s="295"/>
      <c r="I7" s="295"/>
      <c r="J7" s="295"/>
      <c r="K7" s="295"/>
      <c r="L7" s="295"/>
      <c r="M7" s="296"/>
      <c r="N7" s="218"/>
      <c r="O7" s="218"/>
      <c r="P7" s="218"/>
      <c r="Q7" s="218"/>
    </row>
    <row r="8" spans="2:33" ht="70.5" hidden="1" customHeight="1" outlineLevel="1" x14ac:dyDescent="0.25">
      <c r="B8" s="51" t="s">
        <v>212</v>
      </c>
      <c r="C8" s="297" t="s">
        <v>724</v>
      </c>
      <c r="D8" s="298"/>
      <c r="E8" s="298"/>
      <c r="F8" s="298"/>
      <c r="G8" s="298"/>
      <c r="H8" s="298"/>
      <c r="I8" s="298"/>
      <c r="J8" s="298"/>
      <c r="K8" s="298"/>
      <c r="L8" s="298"/>
      <c r="M8" s="299"/>
      <c r="N8" s="217"/>
      <c r="O8" s="217"/>
      <c r="P8" s="217"/>
      <c r="Q8" s="217"/>
    </row>
    <row r="9" spans="2:33" ht="75" hidden="1" customHeight="1" outlineLevel="1" x14ac:dyDescent="0.25">
      <c r="B9" s="51" t="s">
        <v>30</v>
      </c>
      <c r="C9" s="300" t="s">
        <v>725</v>
      </c>
      <c r="D9" s="301"/>
      <c r="E9" s="301"/>
      <c r="F9" s="301"/>
      <c r="G9" s="301"/>
      <c r="H9" s="301"/>
      <c r="I9" s="301"/>
      <c r="J9" s="301"/>
      <c r="K9" s="301"/>
      <c r="L9" s="301"/>
      <c r="M9" s="302"/>
      <c r="N9" s="218"/>
      <c r="O9" s="218"/>
      <c r="P9" s="218"/>
      <c r="Q9" s="218"/>
    </row>
    <row r="10" spans="2:33" ht="65.25" hidden="1" customHeight="1" outlineLevel="1" x14ac:dyDescent="0.25">
      <c r="B10" s="51" t="s">
        <v>31</v>
      </c>
      <c r="C10" s="300" t="s">
        <v>726</v>
      </c>
      <c r="D10" s="301"/>
      <c r="E10" s="301"/>
      <c r="F10" s="301"/>
      <c r="G10" s="301"/>
      <c r="H10" s="301"/>
      <c r="I10" s="301"/>
      <c r="J10" s="301"/>
      <c r="K10" s="301"/>
      <c r="L10" s="301"/>
      <c r="M10" s="302"/>
      <c r="N10" s="218"/>
      <c r="O10" s="218"/>
      <c r="P10" s="218"/>
      <c r="Q10" s="218"/>
    </row>
    <row r="11" spans="2:33" collapsed="1" x14ac:dyDescent="0.25"/>
    <row r="12" spans="2:33" ht="13" x14ac:dyDescent="0.3">
      <c r="B12" s="50" t="s">
        <v>33</v>
      </c>
      <c r="C12" s="49"/>
    </row>
    <row r="13" spans="2:33" ht="6.75" customHeight="1" x14ac:dyDescent="0.25"/>
    <row r="14" spans="2:33" ht="21.75" customHeight="1" x14ac:dyDescent="0.25">
      <c r="B14" s="52" t="s">
        <v>34</v>
      </c>
      <c r="C14" s="353" t="s">
        <v>37</v>
      </c>
      <c r="D14" s="354"/>
      <c r="E14" s="355"/>
      <c r="F14" s="341" t="s">
        <v>67</v>
      </c>
      <c r="G14" s="356"/>
      <c r="H14" s="341" t="s">
        <v>3</v>
      </c>
      <c r="I14" s="356"/>
      <c r="J14" s="341" t="s">
        <v>886</v>
      </c>
      <c r="K14" s="342"/>
      <c r="L14" s="342"/>
      <c r="M14" s="342"/>
      <c r="N14" s="341" t="s">
        <v>38</v>
      </c>
      <c r="O14" s="342"/>
      <c r="P14" s="342"/>
      <c r="Q14" s="342"/>
      <c r="S14" s="149"/>
      <c r="T14" s="149" t="s">
        <v>35</v>
      </c>
      <c r="U14" s="149"/>
      <c r="V14" s="149"/>
      <c r="W14" s="149"/>
      <c r="X14" s="149"/>
      <c r="Y14" s="149" t="s">
        <v>45</v>
      </c>
      <c r="Z14" s="149" t="s">
        <v>44</v>
      </c>
    </row>
    <row r="15" spans="2:33" ht="1.5" customHeight="1" x14ac:dyDescent="0.3">
      <c r="B15" s="314"/>
      <c r="C15" s="314"/>
      <c r="D15" s="314"/>
      <c r="E15" s="314"/>
      <c r="F15" s="314"/>
      <c r="G15" s="314"/>
      <c r="H15" s="314"/>
      <c r="I15" s="314"/>
      <c r="J15" s="314"/>
      <c r="K15" s="314"/>
      <c r="L15" s="314"/>
      <c r="M15" s="314"/>
      <c r="N15" s="219"/>
      <c r="O15" s="219"/>
      <c r="P15" s="219"/>
      <c r="Q15" s="219"/>
    </row>
    <row r="16" spans="2:33" ht="40" customHeight="1" thickBot="1" x14ac:dyDescent="0.35">
      <c r="B16" s="182">
        <v>1</v>
      </c>
      <c r="C16" s="310" t="s">
        <v>1157</v>
      </c>
      <c r="D16" s="310"/>
      <c r="E16" s="310"/>
      <c r="F16" s="310" t="s">
        <v>727</v>
      </c>
      <c r="G16" s="310"/>
      <c r="H16" s="340" t="s">
        <v>42</v>
      </c>
      <c r="I16" s="340"/>
      <c r="J16" s="340" t="s">
        <v>29</v>
      </c>
      <c r="K16" s="340"/>
      <c r="L16" s="340"/>
      <c r="M16" s="340"/>
      <c r="N16" s="415"/>
      <c r="O16" s="415"/>
      <c r="P16" s="415"/>
      <c r="Q16" s="415"/>
      <c r="S16" s="74">
        <f>IF(H16="Nicht anwendbar","n.a.",0)</f>
        <v>0</v>
      </c>
      <c r="T16" s="75">
        <f>IF(H16="Vollständig",1,0)</f>
        <v>0</v>
      </c>
      <c r="U16" s="75">
        <f>IF(H16="In den meisten Fällen",0.75,0)</f>
        <v>0</v>
      </c>
      <c r="V16" s="75">
        <f>IF(H16="In ein Paar Fällen",0.5,0)</f>
        <v>0</v>
      </c>
      <c r="W16" s="75">
        <f>IF(H16="Gar nicht",0,0)</f>
        <v>0</v>
      </c>
      <c r="X16" s="75">
        <f>IF(S16&gt;0,"n.a.",SUM(S16:W16))</f>
        <v>0</v>
      </c>
      <c r="Y16" s="48">
        <f>X16</f>
        <v>0</v>
      </c>
      <c r="Z16" s="48">
        <f>IF(Y16&lt;&gt;"n.a.",SUM(Y16,Y17,Y20,Y23,Y27),NA())</f>
        <v>0</v>
      </c>
      <c r="AG16" s="49" t="str">
        <f t="shared" ref="AG16:AG19" si="0">IF(X16&gt;0.5,"Umgesetzt","Nicht umgesetzt")</f>
        <v>Nicht umgesetzt</v>
      </c>
    </row>
    <row r="17" spans="2:33" ht="40" customHeight="1" thickBot="1" x14ac:dyDescent="0.3">
      <c r="B17" s="325">
        <v>2</v>
      </c>
      <c r="C17" s="343" t="s">
        <v>701</v>
      </c>
      <c r="D17" s="343"/>
      <c r="E17" s="343"/>
      <c r="F17" s="361" t="s">
        <v>728</v>
      </c>
      <c r="G17" s="362"/>
      <c r="H17" s="365" t="s">
        <v>42</v>
      </c>
      <c r="I17" s="365"/>
      <c r="J17" s="351" t="s">
        <v>1077</v>
      </c>
      <c r="K17" s="352"/>
      <c r="L17" s="352"/>
      <c r="M17" s="352"/>
      <c r="N17" s="339"/>
      <c r="O17" s="339"/>
      <c r="P17" s="339"/>
      <c r="Q17" s="339"/>
      <c r="S17" s="49">
        <f t="shared" ref="S17:S28" si="1">IF(H17="Nicht anwendbar","n.a.",0)</f>
        <v>0</v>
      </c>
      <c r="T17" s="49">
        <f t="shared" ref="T17:T28" si="2">IF(H17="Vollständig",1,0)</f>
        <v>0</v>
      </c>
      <c r="U17" s="49">
        <f>IF(H17="In den meisten Fällen",0.75,0)</f>
        <v>0</v>
      </c>
      <c r="V17" s="49">
        <f>IF(H17="In ein Paar Fällen",0.5,0)</f>
        <v>0</v>
      </c>
      <c r="W17" s="49">
        <f>IF(H17="Gar nicht",0,0)</f>
        <v>0</v>
      </c>
      <c r="X17" s="49">
        <f>IFERROR(SUM(T17:W19)/COUNTIF(H17:H19,"&lt;&gt;Nicht anwendbar"),"n.a.")</f>
        <v>0</v>
      </c>
      <c r="Y17" s="48">
        <f>IF(X16=1,X17,0)</f>
        <v>0</v>
      </c>
      <c r="AG17" s="49" t="str">
        <f t="shared" si="0"/>
        <v>Nicht umgesetzt</v>
      </c>
    </row>
    <row r="18" spans="2:33" ht="40" customHeight="1" thickBot="1" x14ac:dyDescent="0.3">
      <c r="B18" s="323"/>
      <c r="C18" s="330" t="s">
        <v>702</v>
      </c>
      <c r="D18" s="330"/>
      <c r="E18" s="330"/>
      <c r="F18" s="307"/>
      <c r="G18" s="307"/>
      <c r="H18" s="366" t="s">
        <v>42</v>
      </c>
      <c r="I18" s="366"/>
      <c r="J18" s="286"/>
      <c r="K18" s="286"/>
      <c r="L18" s="286"/>
      <c r="M18" s="286"/>
      <c r="N18" s="339"/>
      <c r="O18" s="339"/>
      <c r="P18" s="339"/>
      <c r="Q18" s="339"/>
      <c r="S18" s="49">
        <f t="shared" si="1"/>
        <v>0</v>
      </c>
      <c r="T18" s="49">
        <f t="shared" si="2"/>
        <v>0</v>
      </c>
      <c r="U18" s="49">
        <f t="shared" ref="U18:U28" si="3">IF(H18="In den meisten Fällen",0.75,0)</f>
        <v>0</v>
      </c>
      <c r="V18" s="49">
        <f t="shared" ref="V18:V28" si="4">IF(H18="In ein Paar Fällen",0.5,0)</f>
        <v>0</v>
      </c>
      <c r="W18" s="49">
        <f t="shared" ref="W18:W28" si="5">IF(H18="Gar nicht",0,0)</f>
        <v>0</v>
      </c>
      <c r="X18" s="49"/>
      <c r="AG18" s="49" t="str">
        <f t="shared" si="0"/>
        <v>Nicht umgesetzt</v>
      </c>
    </row>
    <row r="19" spans="2:33" ht="40" customHeight="1" thickBot="1" x14ac:dyDescent="0.3">
      <c r="B19" s="326"/>
      <c r="C19" s="310" t="s">
        <v>1158</v>
      </c>
      <c r="D19" s="310"/>
      <c r="E19" s="310"/>
      <c r="F19" s="308"/>
      <c r="G19" s="308"/>
      <c r="H19" s="340" t="s">
        <v>42</v>
      </c>
      <c r="I19" s="340"/>
      <c r="J19" s="275"/>
      <c r="K19" s="275"/>
      <c r="L19" s="275"/>
      <c r="M19" s="275"/>
      <c r="N19" s="339"/>
      <c r="O19" s="339"/>
      <c r="P19" s="339"/>
      <c r="Q19" s="339"/>
      <c r="S19" s="75">
        <f t="shared" si="1"/>
        <v>0</v>
      </c>
      <c r="T19" s="75">
        <f t="shared" si="2"/>
        <v>0</v>
      </c>
      <c r="U19" s="75">
        <f t="shared" si="3"/>
        <v>0</v>
      </c>
      <c r="V19" s="75">
        <f t="shared" si="4"/>
        <v>0</v>
      </c>
      <c r="W19" s="75">
        <f t="shared" si="5"/>
        <v>0</v>
      </c>
      <c r="X19" s="75"/>
      <c r="AG19" s="49" t="str">
        <f t="shared" si="0"/>
        <v>Nicht umgesetzt</v>
      </c>
    </row>
    <row r="20" spans="2:33" ht="40" customHeight="1" thickBot="1" x14ac:dyDescent="0.3">
      <c r="B20" s="325">
        <v>3</v>
      </c>
      <c r="C20" s="344" t="s">
        <v>703</v>
      </c>
      <c r="D20" s="345"/>
      <c r="E20" s="345"/>
      <c r="F20" s="370" t="s">
        <v>817</v>
      </c>
      <c r="G20" s="371"/>
      <c r="H20" s="365" t="s">
        <v>42</v>
      </c>
      <c r="I20" s="365"/>
      <c r="J20" s="357" t="s">
        <v>1078</v>
      </c>
      <c r="K20" s="358"/>
      <c r="L20" s="358"/>
      <c r="M20" s="358"/>
      <c r="N20" s="401"/>
      <c r="O20" s="401"/>
      <c r="P20" s="401"/>
      <c r="Q20" s="401"/>
      <c r="S20" s="48">
        <f t="shared" si="1"/>
        <v>0</v>
      </c>
      <c r="T20" s="49">
        <f t="shared" si="2"/>
        <v>0</v>
      </c>
      <c r="U20" s="49">
        <f t="shared" si="3"/>
        <v>0</v>
      </c>
      <c r="V20" s="49">
        <f t="shared" si="4"/>
        <v>0</v>
      </c>
      <c r="W20" s="49">
        <f t="shared" si="5"/>
        <v>0</v>
      </c>
      <c r="X20" s="143">
        <f>IFERROR(SUM(T20:W22)/COUNTIF(H20:H22,"&lt;&gt;Nicht anwendbar"),"n.a.")</f>
        <v>0</v>
      </c>
      <c r="Y20" s="48">
        <f>IF(Y17=1,X20,0)</f>
        <v>0</v>
      </c>
    </row>
    <row r="21" spans="2:33" ht="40" customHeight="1" thickBot="1" x14ac:dyDescent="0.3">
      <c r="B21" s="323"/>
      <c r="C21" s="347" t="s">
        <v>704</v>
      </c>
      <c r="D21" s="348"/>
      <c r="E21" s="348"/>
      <c r="F21" s="337"/>
      <c r="G21" s="337"/>
      <c r="H21" s="366" t="s">
        <v>42</v>
      </c>
      <c r="I21" s="366"/>
      <c r="J21" s="282"/>
      <c r="K21" s="282"/>
      <c r="L21" s="282"/>
      <c r="M21" s="282"/>
      <c r="N21" s="339"/>
      <c r="O21" s="339"/>
      <c r="P21" s="339"/>
      <c r="Q21" s="339"/>
      <c r="S21" s="48">
        <f t="shared" si="1"/>
        <v>0</v>
      </c>
      <c r="T21" s="49">
        <f t="shared" si="2"/>
        <v>0</v>
      </c>
      <c r="U21" s="49">
        <f t="shared" si="3"/>
        <v>0</v>
      </c>
      <c r="V21" s="49">
        <f t="shared" si="4"/>
        <v>0</v>
      </c>
      <c r="W21" s="49">
        <f t="shared" si="5"/>
        <v>0</v>
      </c>
    </row>
    <row r="22" spans="2:33" ht="40" customHeight="1" thickBot="1" x14ac:dyDescent="0.3">
      <c r="B22" s="326"/>
      <c r="C22" s="368" t="s">
        <v>818</v>
      </c>
      <c r="D22" s="368"/>
      <c r="E22" s="368"/>
      <c r="F22" s="386"/>
      <c r="G22" s="386"/>
      <c r="H22" s="340" t="s">
        <v>42</v>
      </c>
      <c r="I22" s="340"/>
      <c r="J22" s="270"/>
      <c r="K22" s="270"/>
      <c r="L22" s="270"/>
      <c r="M22" s="270"/>
      <c r="N22" s="339"/>
      <c r="O22" s="339"/>
      <c r="P22" s="339"/>
      <c r="Q22" s="339"/>
      <c r="S22" s="75">
        <f t="shared" si="1"/>
        <v>0</v>
      </c>
      <c r="T22" s="75">
        <f t="shared" si="2"/>
        <v>0</v>
      </c>
      <c r="U22" s="75">
        <f t="shared" si="3"/>
        <v>0</v>
      </c>
      <c r="V22" s="75">
        <f t="shared" si="4"/>
        <v>0</v>
      </c>
      <c r="W22" s="75">
        <f t="shared" si="5"/>
        <v>0</v>
      </c>
      <c r="X22" s="75"/>
    </row>
    <row r="23" spans="2:33" ht="40" customHeight="1" thickBot="1" x14ac:dyDescent="0.3">
      <c r="B23" s="325">
        <v>4</v>
      </c>
      <c r="C23" s="393" t="s">
        <v>705</v>
      </c>
      <c r="D23" s="393"/>
      <c r="E23" s="393"/>
      <c r="F23" s="361" t="s">
        <v>729</v>
      </c>
      <c r="G23" s="362"/>
      <c r="H23" s="365" t="s">
        <v>42</v>
      </c>
      <c r="I23" s="365"/>
      <c r="J23" s="351" t="s">
        <v>1079</v>
      </c>
      <c r="K23" s="352"/>
      <c r="L23" s="352"/>
      <c r="M23" s="352"/>
      <c r="N23" s="401"/>
      <c r="O23" s="401"/>
      <c r="P23" s="401"/>
      <c r="Q23" s="401"/>
      <c r="S23" s="49">
        <f t="shared" si="1"/>
        <v>0</v>
      </c>
      <c r="T23" s="49">
        <f t="shared" si="2"/>
        <v>0</v>
      </c>
      <c r="U23" s="49">
        <f t="shared" si="3"/>
        <v>0</v>
      </c>
      <c r="V23" s="49">
        <f t="shared" si="4"/>
        <v>0</v>
      </c>
      <c r="W23" s="49">
        <f t="shared" si="5"/>
        <v>0</v>
      </c>
      <c r="X23" s="143">
        <f>IFERROR(SUM(T23:W26)/COUNTIF(H23:H26,"&lt;&gt;Nicht anwendbar"),"n.a.")</f>
        <v>0</v>
      </c>
      <c r="Y23" s="48">
        <f>IF(Y20=1,X23,0)</f>
        <v>0</v>
      </c>
    </row>
    <row r="24" spans="2:33" ht="40" customHeight="1" thickBot="1" x14ac:dyDescent="0.3">
      <c r="B24" s="323"/>
      <c r="C24" s="330" t="s">
        <v>706</v>
      </c>
      <c r="D24" s="330"/>
      <c r="E24" s="330"/>
      <c r="F24" s="307"/>
      <c r="G24" s="307"/>
      <c r="H24" s="366" t="s">
        <v>42</v>
      </c>
      <c r="I24" s="366"/>
      <c r="J24" s="286"/>
      <c r="K24" s="286"/>
      <c r="L24" s="286"/>
      <c r="M24" s="286"/>
      <c r="N24" s="339"/>
      <c r="O24" s="339"/>
      <c r="P24" s="339"/>
      <c r="Q24" s="339"/>
      <c r="S24" s="49">
        <f t="shared" si="1"/>
        <v>0</v>
      </c>
      <c r="T24" s="49">
        <f t="shared" si="2"/>
        <v>0</v>
      </c>
      <c r="U24" s="49">
        <f t="shared" si="3"/>
        <v>0</v>
      </c>
      <c r="V24" s="49">
        <f t="shared" si="4"/>
        <v>0</v>
      </c>
      <c r="W24" s="49">
        <f t="shared" si="5"/>
        <v>0</v>
      </c>
      <c r="X24" s="49"/>
    </row>
    <row r="25" spans="2:33" ht="40" customHeight="1" thickBot="1" x14ac:dyDescent="0.3">
      <c r="B25" s="323"/>
      <c r="C25" s="330" t="s">
        <v>707</v>
      </c>
      <c r="D25" s="330"/>
      <c r="E25" s="330"/>
      <c r="F25" s="307"/>
      <c r="G25" s="307"/>
      <c r="H25" s="366" t="s">
        <v>42</v>
      </c>
      <c r="I25" s="366"/>
      <c r="J25" s="286"/>
      <c r="K25" s="286"/>
      <c r="L25" s="286"/>
      <c r="M25" s="286"/>
      <c r="N25" s="222"/>
      <c r="O25" s="222"/>
      <c r="P25" s="222"/>
      <c r="Q25" s="222"/>
      <c r="S25" s="49">
        <f t="shared" si="1"/>
        <v>0</v>
      </c>
      <c r="T25" s="49">
        <f t="shared" si="2"/>
        <v>0</v>
      </c>
      <c r="U25" s="49">
        <f t="shared" si="3"/>
        <v>0</v>
      </c>
      <c r="V25" s="49">
        <f t="shared" si="4"/>
        <v>0</v>
      </c>
      <c r="W25" s="49">
        <f t="shared" si="5"/>
        <v>0</v>
      </c>
      <c r="X25" s="49"/>
    </row>
    <row r="26" spans="2:33" ht="40" customHeight="1" thickBot="1" x14ac:dyDescent="0.3">
      <c r="B26" s="323"/>
      <c r="C26" s="350" t="s">
        <v>708</v>
      </c>
      <c r="D26" s="350"/>
      <c r="E26" s="350"/>
      <c r="F26" s="308"/>
      <c r="G26" s="308"/>
      <c r="H26" s="340" t="s">
        <v>42</v>
      </c>
      <c r="I26" s="340"/>
      <c r="J26" s="275"/>
      <c r="K26" s="275"/>
      <c r="L26" s="275"/>
      <c r="M26" s="275"/>
      <c r="N26" s="339"/>
      <c r="O26" s="339"/>
      <c r="P26" s="339"/>
      <c r="Q26" s="339"/>
      <c r="S26" s="149">
        <f t="shared" si="1"/>
        <v>0</v>
      </c>
      <c r="T26" s="149">
        <f t="shared" si="2"/>
        <v>0</v>
      </c>
      <c r="U26" s="149">
        <f t="shared" si="3"/>
        <v>0</v>
      </c>
      <c r="V26" s="149">
        <f t="shared" si="4"/>
        <v>0</v>
      </c>
      <c r="W26" s="149">
        <f t="shared" si="5"/>
        <v>0</v>
      </c>
      <c r="X26" s="149"/>
    </row>
    <row r="27" spans="2:33" ht="40" customHeight="1" thickBot="1" x14ac:dyDescent="0.3">
      <c r="B27" s="325">
        <v>5</v>
      </c>
      <c r="C27" s="343" t="s">
        <v>709</v>
      </c>
      <c r="D27" s="343"/>
      <c r="E27" s="343"/>
      <c r="F27" s="361" t="s">
        <v>730</v>
      </c>
      <c r="G27" s="362"/>
      <c r="H27" s="365" t="s">
        <v>42</v>
      </c>
      <c r="I27" s="365"/>
      <c r="J27" s="351" t="s">
        <v>1080</v>
      </c>
      <c r="K27" s="352"/>
      <c r="L27" s="352"/>
      <c r="M27" s="352"/>
      <c r="N27" s="401"/>
      <c r="O27" s="401"/>
      <c r="P27" s="401"/>
      <c r="Q27" s="401"/>
      <c r="S27" s="157">
        <f t="shared" si="1"/>
        <v>0</v>
      </c>
      <c r="T27" s="157">
        <f t="shared" si="2"/>
        <v>0</v>
      </c>
      <c r="U27" s="157">
        <f t="shared" si="3"/>
        <v>0</v>
      </c>
      <c r="V27" s="157">
        <f t="shared" si="4"/>
        <v>0</v>
      </c>
      <c r="W27" s="157">
        <f t="shared" si="5"/>
        <v>0</v>
      </c>
      <c r="X27" s="143">
        <f>IFERROR(SUM(T27:W28)/COUNTIF(H27:H28,"&lt;&gt;Nicht anwendbar"),"n.a.")</f>
        <v>0</v>
      </c>
      <c r="Y27" s="48">
        <f>IF(Y23=1,X27,0)</f>
        <v>0</v>
      </c>
    </row>
    <row r="28" spans="2:33" ht="40" customHeight="1" thickBot="1" x14ac:dyDescent="0.3">
      <c r="B28" s="326"/>
      <c r="C28" s="310" t="s">
        <v>819</v>
      </c>
      <c r="D28" s="310"/>
      <c r="E28" s="310"/>
      <c r="F28" s="308"/>
      <c r="G28" s="308"/>
      <c r="H28" s="340" t="s">
        <v>42</v>
      </c>
      <c r="I28" s="340"/>
      <c r="J28" s="275"/>
      <c r="K28" s="275"/>
      <c r="L28" s="275"/>
      <c r="M28" s="275"/>
      <c r="N28" s="414"/>
      <c r="O28" s="414"/>
      <c r="P28" s="414"/>
      <c r="Q28" s="414"/>
      <c r="S28" s="149">
        <f t="shared" si="1"/>
        <v>0</v>
      </c>
      <c r="T28" s="149">
        <f t="shared" si="2"/>
        <v>0</v>
      </c>
      <c r="U28" s="149">
        <f t="shared" si="3"/>
        <v>0</v>
      </c>
      <c r="V28" s="149">
        <f t="shared" si="4"/>
        <v>0</v>
      </c>
      <c r="W28" s="149">
        <f t="shared" si="5"/>
        <v>0</v>
      </c>
      <c r="X28" s="149"/>
    </row>
  </sheetData>
  <sheetProtection formatCells="0"/>
  <protectedRanges>
    <protectedRange sqref="N31:Q32" name="Bereich1"/>
    <protectedRange sqref="N20:Q20 N23:Q23 N27:Q27" name="Bereich1_1"/>
  </protectedRanges>
  <mergeCells count="64">
    <mergeCell ref="B27:B28"/>
    <mergeCell ref="C27:E27"/>
    <mergeCell ref="F27:G28"/>
    <mergeCell ref="H27:I27"/>
    <mergeCell ref="B23:B26"/>
    <mergeCell ref="C23:E23"/>
    <mergeCell ref="F23:G26"/>
    <mergeCell ref="H23:I23"/>
    <mergeCell ref="C24:E24"/>
    <mergeCell ref="H24:I24"/>
    <mergeCell ref="C25:E25"/>
    <mergeCell ref="H25:I25"/>
    <mergeCell ref="C26:E26"/>
    <mergeCell ref="H26:I26"/>
    <mergeCell ref="C28:E28"/>
    <mergeCell ref="H28:I28"/>
    <mergeCell ref="B17:B19"/>
    <mergeCell ref="C22:E22"/>
    <mergeCell ref="H22:I22"/>
    <mergeCell ref="B20:B22"/>
    <mergeCell ref="C20:E20"/>
    <mergeCell ref="F20:G22"/>
    <mergeCell ref="H20:I20"/>
    <mergeCell ref="C21:E21"/>
    <mergeCell ref="H21:I21"/>
    <mergeCell ref="F16:G16"/>
    <mergeCell ref="H16:I16"/>
    <mergeCell ref="J16:M16"/>
    <mergeCell ref="C17:E17"/>
    <mergeCell ref="F17:G19"/>
    <mergeCell ref="H17:I17"/>
    <mergeCell ref="C18:E18"/>
    <mergeCell ref="H18:I18"/>
    <mergeCell ref="C19:E19"/>
    <mergeCell ref="H19:I19"/>
    <mergeCell ref="J27:M28"/>
    <mergeCell ref="J23:M26"/>
    <mergeCell ref="B15:M15"/>
    <mergeCell ref="B4:M4"/>
    <mergeCell ref="C6:G6"/>
    <mergeCell ref="C7:M7"/>
    <mergeCell ref="C8:M8"/>
    <mergeCell ref="C9:M9"/>
    <mergeCell ref="C10:M10"/>
    <mergeCell ref="C14:E14"/>
    <mergeCell ref="F14:G14"/>
    <mergeCell ref="H14:I14"/>
    <mergeCell ref="J14:M14"/>
    <mergeCell ref="J17:M19"/>
    <mergeCell ref="J20:M22"/>
    <mergeCell ref="C16:E16"/>
    <mergeCell ref="N14:Q14"/>
    <mergeCell ref="N16:Q16"/>
    <mergeCell ref="N17:Q17"/>
    <mergeCell ref="N18:Q18"/>
    <mergeCell ref="N19:Q19"/>
    <mergeCell ref="N26:Q26"/>
    <mergeCell ref="N27:Q27"/>
    <mergeCell ref="N28:Q28"/>
    <mergeCell ref="N20:Q20"/>
    <mergeCell ref="N21:Q21"/>
    <mergeCell ref="N22:Q22"/>
    <mergeCell ref="N23:Q23"/>
    <mergeCell ref="N24:Q24"/>
  </mergeCells>
  <conditionalFormatting sqref="H16:I28">
    <cfRule type="containsText" dxfId="8" priority="1" operator="containsText" text="Bitte auswählen">
      <formula>NOT(ISERROR(SEARCH("Bitte auswählen",H16)))</formula>
    </cfRule>
  </conditionalFormatting>
  <dataValidations xWindow="787" yWindow="395" count="2">
    <dataValidation allowBlank="1" showInputMessage="1" showErrorMessage="1" promptTitle="[+] Klicken" prompt="Hier können Sie sich erweiterte Informationen zu dem Prozess anzeigen lassen." sqref="A11" xr:uid="{6FB1AF58-ECEF-4B86-9FD7-5EAA49624DBB}"/>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50D39F6E-552B-4ADD-BA0F-E58B84DBF35F}"/>
  </dataValidations>
  <hyperlinks>
    <hyperlink ref="C23:E23" location="Glossar!A1" display="Sind die redaktionellen Systeme durchgängig mit anderen Unternehmenssystemen integriert (z. B. PLM, ERP, PIM)?" xr:uid="{93812E54-69DF-4092-99BC-1088B2904E76}"/>
  </hyperlinks>
  <pageMargins left="0.23622047244094491" right="0.23622047244094491" top="0.74803149606299213" bottom="0.74803149606299213" header="0.31496062992125984" footer="0.31496062992125984"/>
  <pageSetup paperSize="9" scale="46" orientation="landscape" horizontalDpi="4294967293"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787" yWindow="395" count="1">
        <x14:dataValidation type="list" allowBlank="1" showInputMessage="1" showErrorMessage="1" xr:uid="{DE07C10C-E16A-4C8D-A820-D8AB0CD9A8EF}">
          <x14:formula1>
            <xm:f>Data!$I$3:$I$8</xm:f>
          </x14:formula1>
          <xm:sqref>H16:I28</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2202C-6588-4820-AF9C-485B79E854FD}">
  <sheetPr>
    <tabColor theme="5"/>
    <pageSetUpPr fitToPage="1"/>
  </sheetPr>
  <dimension ref="B4:AG30"/>
  <sheetViews>
    <sheetView showGridLines="0" zoomScale="90" zoomScaleNormal="90" zoomScalePageLayoutView="85" workbookViewId="0"/>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68.54296875" style="48" hidden="1" customWidth="1" outlineLevel="1"/>
    <col min="7" max="7" width="26.453125" style="48" hidden="1" customWidth="1" outlineLevel="1"/>
    <col min="8" max="8" width="11.453125" style="48" collapsed="1"/>
    <col min="9" max="10" width="11.453125" style="48"/>
    <col min="11" max="11" width="13.26953125" style="48" customWidth="1"/>
    <col min="12" max="12" width="11.453125" style="48"/>
    <col min="13" max="13" width="22" style="48" customWidth="1"/>
    <col min="14" max="14" width="11.453125" style="48"/>
    <col min="15" max="15" width="13.26953125" style="48" customWidth="1"/>
    <col min="16" max="16" width="11.453125" style="48"/>
    <col min="17" max="17" width="24.81640625" style="48" customWidth="1"/>
    <col min="18" max="18" width="11.453125" style="49"/>
    <col min="19" max="24" width="11.453125" style="48" customWidth="1"/>
    <col min="25" max="25" width="14" style="48" customWidth="1"/>
    <col min="26" max="32" width="11.453125" style="48" customWidth="1"/>
    <col min="33" max="33" width="11.453125" style="48" hidden="1" customWidth="1"/>
    <col min="34" max="16384" width="11.453125" style="48"/>
  </cols>
  <sheetData>
    <row r="4" spans="2:33" ht="14" x14ac:dyDescent="0.3">
      <c r="B4" s="290" t="s">
        <v>39</v>
      </c>
      <c r="C4" s="290"/>
      <c r="D4" s="290"/>
      <c r="E4" s="290"/>
      <c r="F4" s="290"/>
      <c r="G4" s="290"/>
      <c r="H4" s="290"/>
      <c r="I4" s="290"/>
      <c r="J4" s="290"/>
      <c r="K4" s="290"/>
      <c r="L4" s="290"/>
      <c r="M4" s="290"/>
      <c r="N4" s="216"/>
      <c r="O4" s="216"/>
      <c r="P4" s="216"/>
      <c r="Q4" s="216"/>
    </row>
    <row r="5" spans="2:33" ht="9" customHeight="1" x14ac:dyDescent="0.25"/>
    <row r="6" spans="2:33" ht="32.25" customHeight="1" thickBot="1" x14ac:dyDescent="0.3">
      <c r="B6" s="77" t="s">
        <v>151</v>
      </c>
      <c r="C6" s="293" t="s">
        <v>182</v>
      </c>
      <c r="D6" s="293"/>
      <c r="E6" s="293"/>
      <c r="F6" s="293"/>
      <c r="G6" s="293"/>
      <c r="H6" s="53"/>
      <c r="I6" s="53"/>
      <c r="J6" s="53"/>
      <c r="K6" s="53" t="s">
        <v>36</v>
      </c>
      <c r="L6" s="55">
        <f>ROUNDDOWN(Z16/0.25,0)*0.25</f>
        <v>0</v>
      </c>
      <c r="M6" s="54" t="str">
        <f>IF(L6&lt;1,"Unvollständig",IF(L6&lt;2,"Initial",IF(L6&lt;3,"Gemanagt",IF(L6&lt;4,"Definiert",IF(L6&lt;5,"Quantitativ gemanagt",IF(L6&lt;6,"Optimiert","Ausstehend"))))))</f>
        <v>Unvollständig</v>
      </c>
      <c r="N6" s="53"/>
      <c r="O6" s="53"/>
      <c r="P6" s="55"/>
      <c r="Q6" s="54"/>
    </row>
    <row r="7" spans="2:33" ht="35.25" hidden="1" customHeight="1" outlineLevel="1" x14ac:dyDescent="0.25">
      <c r="B7" s="76" t="s">
        <v>211</v>
      </c>
      <c r="C7" s="294" t="s">
        <v>714</v>
      </c>
      <c r="D7" s="295"/>
      <c r="E7" s="295"/>
      <c r="F7" s="295"/>
      <c r="G7" s="295"/>
      <c r="H7" s="295"/>
      <c r="I7" s="295"/>
      <c r="J7" s="295"/>
      <c r="K7" s="295"/>
      <c r="L7" s="295"/>
      <c r="M7" s="296"/>
      <c r="N7" s="218"/>
      <c r="O7" s="218"/>
      <c r="P7" s="218"/>
      <c r="Q7" s="218"/>
    </row>
    <row r="8" spans="2:33" ht="70.5" hidden="1" customHeight="1" outlineLevel="1" x14ac:dyDescent="0.25">
      <c r="B8" s="51" t="s">
        <v>212</v>
      </c>
      <c r="C8" s="297" t="s">
        <v>731</v>
      </c>
      <c r="D8" s="298"/>
      <c r="E8" s="298"/>
      <c r="F8" s="298"/>
      <c r="G8" s="298"/>
      <c r="H8" s="298"/>
      <c r="I8" s="298"/>
      <c r="J8" s="298"/>
      <c r="K8" s="298"/>
      <c r="L8" s="298"/>
      <c r="M8" s="299"/>
      <c r="N8" s="217"/>
      <c r="O8" s="217"/>
      <c r="P8" s="217"/>
      <c r="Q8" s="217"/>
    </row>
    <row r="9" spans="2:33" ht="75" hidden="1" customHeight="1" outlineLevel="1" x14ac:dyDescent="0.25">
      <c r="B9" s="51" t="s">
        <v>30</v>
      </c>
      <c r="C9" s="300" t="s">
        <v>732</v>
      </c>
      <c r="D9" s="301"/>
      <c r="E9" s="301"/>
      <c r="F9" s="301"/>
      <c r="G9" s="301"/>
      <c r="H9" s="301"/>
      <c r="I9" s="301"/>
      <c r="J9" s="301"/>
      <c r="K9" s="301"/>
      <c r="L9" s="301"/>
      <c r="M9" s="302"/>
      <c r="N9" s="218"/>
      <c r="O9" s="218"/>
      <c r="P9" s="218"/>
      <c r="Q9" s="218"/>
    </row>
    <row r="10" spans="2:33" ht="65.25" hidden="1" customHeight="1" outlineLevel="1" x14ac:dyDescent="0.25">
      <c r="B10" s="51" t="s">
        <v>31</v>
      </c>
      <c r="C10" s="300" t="s">
        <v>733</v>
      </c>
      <c r="D10" s="301"/>
      <c r="E10" s="301"/>
      <c r="F10" s="301"/>
      <c r="G10" s="301"/>
      <c r="H10" s="301"/>
      <c r="I10" s="301"/>
      <c r="J10" s="301"/>
      <c r="K10" s="301"/>
      <c r="L10" s="301"/>
      <c r="M10" s="302"/>
      <c r="N10" s="218"/>
      <c r="O10" s="218"/>
      <c r="P10" s="218"/>
      <c r="Q10" s="218"/>
    </row>
    <row r="11" spans="2:33" collapsed="1" x14ac:dyDescent="0.25"/>
    <row r="12" spans="2:33" ht="13" x14ac:dyDescent="0.3">
      <c r="B12" s="50" t="s">
        <v>33</v>
      </c>
      <c r="C12" s="49"/>
    </row>
    <row r="13" spans="2:33" ht="6.75" customHeight="1" x14ac:dyDescent="0.25"/>
    <row r="14" spans="2:33" ht="21.75" customHeight="1" x14ac:dyDescent="0.25">
      <c r="B14" s="52" t="s">
        <v>34</v>
      </c>
      <c r="C14" s="353" t="s">
        <v>37</v>
      </c>
      <c r="D14" s="354"/>
      <c r="E14" s="355"/>
      <c r="F14" s="341" t="s">
        <v>67</v>
      </c>
      <c r="G14" s="356"/>
      <c r="H14" s="341" t="s">
        <v>3</v>
      </c>
      <c r="I14" s="356"/>
      <c r="J14" s="341" t="s">
        <v>886</v>
      </c>
      <c r="K14" s="342"/>
      <c r="L14" s="342"/>
      <c r="M14" s="342"/>
      <c r="N14" s="341" t="s">
        <v>38</v>
      </c>
      <c r="O14" s="342"/>
      <c r="P14" s="342"/>
      <c r="Q14" s="342"/>
      <c r="S14" s="149"/>
      <c r="T14" s="149" t="s">
        <v>35</v>
      </c>
      <c r="U14" s="149"/>
      <c r="V14" s="149"/>
      <c r="W14" s="149"/>
      <c r="X14" s="149"/>
      <c r="Y14" s="149" t="s">
        <v>45</v>
      </c>
      <c r="Z14" s="149" t="s">
        <v>44</v>
      </c>
    </row>
    <row r="15" spans="2:33" ht="1.5" customHeight="1" x14ac:dyDescent="0.3">
      <c r="B15" s="314"/>
      <c r="C15" s="314"/>
      <c r="D15" s="314"/>
      <c r="E15" s="314"/>
      <c r="F15" s="314"/>
      <c r="G15" s="314"/>
      <c r="H15" s="314"/>
      <c r="I15" s="314"/>
      <c r="J15" s="314"/>
      <c r="K15" s="314"/>
      <c r="L15" s="314"/>
      <c r="M15" s="314"/>
      <c r="N15" s="219"/>
      <c r="O15" s="219"/>
      <c r="P15" s="219"/>
      <c r="Q15" s="219"/>
    </row>
    <row r="16" spans="2:33" ht="40" customHeight="1" thickBot="1" x14ac:dyDescent="0.35">
      <c r="B16" s="323">
        <v>1</v>
      </c>
      <c r="C16" s="350" t="s">
        <v>710</v>
      </c>
      <c r="D16" s="350"/>
      <c r="E16" s="350"/>
      <c r="F16" s="288" t="s">
        <v>734</v>
      </c>
      <c r="G16" s="288"/>
      <c r="H16" s="366" t="s">
        <v>42</v>
      </c>
      <c r="I16" s="366"/>
      <c r="J16" s="383" t="s">
        <v>29</v>
      </c>
      <c r="K16" s="383"/>
      <c r="L16" s="383"/>
      <c r="M16" s="383"/>
      <c r="N16" s="359"/>
      <c r="O16" s="359"/>
      <c r="P16" s="359"/>
      <c r="Q16" s="359"/>
      <c r="S16" s="155">
        <f>IF(H16="Nicht anwendbar","n.a.",0)</f>
        <v>0</v>
      </c>
      <c r="T16" s="49">
        <f>IF(H16="Vollständig",1,0)</f>
        <v>0</v>
      </c>
      <c r="U16" s="49">
        <f>IF(H16="In den meisten Fällen",0.75,0)</f>
        <v>0</v>
      </c>
      <c r="V16" s="49">
        <f>IF(H16="In ein Paar Fällen",0.5,0)</f>
        <v>0</v>
      </c>
      <c r="W16" s="49">
        <f>IF(H16="Gar nicht",0,0)</f>
        <v>0</v>
      </c>
      <c r="X16" s="143">
        <f>IFERROR(SUM(T16:W17)/COUNTIF(H16:H17,"&lt;&gt;Nicht anwendbar"),"n.a.")</f>
        <v>0</v>
      </c>
      <c r="Y16" s="48">
        <f>X16</f>
        <v>0</v>
      </c>
      <c r="Z16" s="48">
        <f>IF(Y16&lt;&gt;"n.a.",SUM(Y16,Y18,Y21,Y25,Y28),NA())</f>
        <v>0</v>
      </c>
      <c r="AG16" s="49" t="str">
        <f t="shared" ref="AG16:AG20" si="0">IF(X16&gt;0.5,"Umgesetzt","Nicht umgesetzt")</f>
        <v>Nicht umgesetzt</v>
      </c>
    </row>
    <row r="17" spans="2:33" ht="40" customHeight="1" thickBot="1" x14ac:dyDescent="0.3">
      <c r="B17" s="326"/>
      <c r="C17" s="360" t="s">
        <v>1159</v>
      </c>
      <c r="D17" s="360"/>
      <c r="E17" s="360"/>
      <c r="F17" s="289"/>
      <c r="G17" s="289"/>
      <c r="H17" s="340" t="s">
        <v>42</v>
      </c>
      <c r="I17" s="340"/>
      <c r="J17" s="384"/>
      <c r="K17" s="384"/>
      <c r="L17" s="384"/>
      <c r="M17" s="384"/>
      <c r="N17" s="378"/>
      <c r="O17" s="378"/>
      <c r="P17" s="378"/>
      <c r="Q17" s="378"/>
      <c r="S17" s="75">
        <f t="shared" ref="S17:S30" si="1">IF(H17="Nicht anwendbar","n.a.",0)</f>
        <v>0</v>
      </c>
      <c r="T17" s="75">
        <f t="shared" ref="T17:T30" si="2">IF(H17="Vollständig",1,0)</f>
        <v>0</v>
      </c>
      <c r="U17" s="75">
        <f t="shared" ref="U17" si="3">IF(H17="In den meisten Fällen",0.75,0)</f>
        <v>0</v>
      </c>
      <c r="V17" s="75">
        <f t="shared" ref="V17" si="4">IF(H17="In ein Paar Fällen",0.5,0)</f>
        <v>0</v>
      </c>
      <c r="W17" s="75">
        <f t="shared" ref="W17" si="5">IF(H17="Gar nicht",0,0)</f>
        <v>0</v>
      </c>
      <c r="X17" s="75"/>
      <c r="AG17" s="49"/>
    </row>
    <row r="18" spans="2:33" ht="40" customHeight="1" thickBot="1" x14ac:dyDescent="0.3">
      <c r="B18" s="325">
        <v>2</v>
      </c>
      <c r="C18" s="343" t="s">
        <v>711</v>
      </c>
      <c r="D18" s="343"/>
      <c r="E18" s="343"/>
      <c r="F18" s="361" t="s">
        <v>735</v>
      </c>
      <c r="G18" s="362"/>
      <c r="H18" s="365" t="s">
        <v>42</v>
      </c>
      <c r="I18" s="365"/>
      <c r="J18" s="351" t="s">
        <v>1081</v>
      </c>
      <c r="K18" s="352"/>
      <c r="L18" s="352"/>
      <c r="M18" s="352"/>
      <c r="N18" s="401"/>
      <c r="O18" s="401"/>
      <c r="P18" s="401"/>
      <c r="Q18" s="401"/>
      <c r="S18" s="49">
        <f t="shared" si="1"/>
        <v>0</v>
      </c>
      <c r="T18" s="49">
        <f t="shared" si="2"/>
        <v>0</v>
      </c>
      <c r="U18" s="49">
        <f>IF(H18="In den meisten Fällen",0.75,0)</f>
        <v>0</v>
      </c>
      <c r="V18" s="49">
        <f>IF(H18="In ein Paar Fällen",0.5,0)</f>
        <v>0</v>
      </c>
      <c r="W18" s="49">
        <f>IF(H18="Gar nicht",0,0)</f>
        <v>0</v>
      </c>
      <c r="X18" s="143">
        <f>IFERROR(SUM(T18:W20)/COUNTIF(H18:H20,"&lt;&gt;Nicht anwendbar"),"n.a.")</f>
        <v>0</v>
      </c>
      <c r="Y18" s="48">
        <f>IF(X16=1,X18,0)</f>
        <v>0</v>
      </c>
      <c r="AG18" s="49" t="str">
        <f t="shared" si="0"/>
        <v>Nicht umgesetzt</v>
      </c>
    </row>
    <row r="19" spans="2:33" ht="40" customHeight="1" thickBot="1" x14ac:dyDescent="0.3">
      <c r="B19" s="323"/>
      <c r="C19" s="330" t="s">
        <v>715</v>
      </c>
      <c r="D19" s="330"/>
      <c r="E19" s="330"/>
      <c r="F19" s="307"/>
      <c r="G19" s="307"/>
      <c r="H19" s="366" t="s">
        <v>42</v>
      </c>
      <c r="I19" s="366"/>
      <c r="J19" s="286"/>
      <c r="K19" s="286"/>
      <c r="L19" s="286"/>
      <c r="M19" s="286"/>
      <c r="N19" s="339"/>
      <c r="O19" s="339"/>
      <c r="P19" s="339"/>
      <c r="Q19" s="339"/>
      <c r="S19" s="49">
        <f t="shared" si="1"/>
        <v>0</v>
      </c>
      <c r="T19" s="49">
        <f t="shared" si="2"/>
        <v>0</v>
      </c>
      <c r="U19" s="49">
        <f t="shared" ref="U19:U30" si="6">IF(H19="In den meisten Fällen",0.75,0)</f>
        <v>0</v>
      </c>
      <c r="V19" s="49">
        <f t="shared" ref="V19:V30" si="7">IF(H19="In ein Paar Fällen",0.5,0)</f>
        <v>0</v>
      </c>
      <c r="W19" s="49">
        <f t="shared" ref="W19:W30" si="8">IF(H19="Gar nicht",0,0)</f>
        <v>0</v>
      </c>
      <c r="X19" s="49"/>
      <c r="AG19" s="49" t="str">
        <f t="shared" si="0"/>
        <v>Nicht umgesetzt</v>
      </c>
    </row>
    <row r="20" spans="2:33" ht="40" customHeight="1" thickBot="1" x14ac:dyDescent="0.3">
      <c r="B20" s="326"/>
      <c r="C20" s="308" t="s">
        <v>716</v>
      </c>
      <c r="D20" s="308"/>
      <c r="E20" s="308"/>
      <c r="F20" s="308"/>
      <c r="G20" s="308"/>
      <c r="H20" s="340" t="s">
        <v>42</v>
      </c>
      <c r="I20" s="340"/>
      <c r="J20" s="275"/>
      <c r="K20" s="275"/>
      <c r="L20" s="275"/>
      <c r="M20" s="275"/>
      <c r="N20" s="339"/>
      <c r="O20" s="339"/>
      <c r="P20" s="339"/>
      <c r="Q20" s="339"/>
      <c r="S20" s="75">
        <f t="shared" si="1"/>
        <v>0</v>
      </c>
      <c r="T20" s="75">
        <f t="shared" si="2"/>
        <v>0</v>
      </c>
      <c r="U20" s="75">
        <f t="shared" si="6"/>
        <v>0</v>
      </c>
      <c r="V20" s="75">
        <f t="shared" si="7"/>
        <v>0</v>
      </c>
      <c r="W20" s="75">
        <f t="shared" si="8"/>
        <v>0</v>
      </c>
      <c r="X20" s="75"/>
      <c r="AG20" s="49" t="str">
        <f t="shared" si="0"/>
        <v>Nicht umgesetzt</v>
      </c>
    </row>
    <row r="21" spans="2:33" ht="40" customHeight="1" thickBot="1" x14ac:dyDescent="0.3">
      <c r="B21" s="325">
        <v>3</v>
      </c>
      <c r="C21" s="344" t="s">
        <v>712</v>
      </c>
      <c r="D21" s="345"/>
      <c r="E21" s="345"/>
      <c r="F21" s="370" t="s">
        <v>736</v>
      </c>
      <c r="G21" s="371"/>
      <c r="H21" s="365" t="s">
        <v>42</v>
      </c>
      <c r="I21" s="365"/>
      <c r="J21" s="357" t="s">
        <v>1082</v>
      </c>
      <c r="K21" s="358"/>
      <c r="L21" s="358"/>
      <c r="M21" s="358"/>
      <c r="N21" s="401"/>
      <c r="O21" s="401"/>
      <c r="P21" s="401"/>
      <c r="Q21" s="401"/>
      <c r="S21" s="48">
        <f t="shared" si="1"/>
        <v>0</v>
      </c>
      <c r="T21" s="49">
        <f t="shared" si="2"/>
        <v>0</v>
      </c>
      <c r="U21" s="49">
        <f t="shared" si="6"/>
        <v>0</v>
      </c>
      <c r="V21" s="49">
        <f t="shared" si="7"/>
        <v>0</v>
      </c>
      <c r="W21" s="49">
        <f t="shared" si="8"/>
        <v>0</v>
      </c>
      <c r="X21" s="143">
        <f>IFERROR(SUM(T21:W24)/COUNTIF(H21:H24,"&lt;&gt;Nicht anwendbar"),"n.a.")</f>
        <v>0</v>
      </c>
      <c r="Y21" s="48">
        <f>IF(Y18=1,X21,0)</f>
        <v>0</v>
      </c>
    </row>
    <row r="22" spans="2:33" ht="40" customHeight="1" thickBot="1" x14ac:dyDescent="0.3">
      <c r="B22" s="323"/>
      <c r="C22" s="347" t="s">
        <v>717</v>
      </c>
      <c r="D22" s="348"/>
      <c r="E22" s="348"/>
      <c r="F22" s="337"/>
      <c r="G22" s="337"/>
      <c r="H22" s="366" t="s">
        <v>42</v>
      </c>
      <c r="I22" s="366"/>
      <c r="J22" s="282"/>
      <c r="K22" s="282"/>
      <c r="L22" s="282"/>
      <c r="M22" s="282"/>
      <c r="N22" s="339"/>
      <c r="O22" s="339"/>
      <c r="P22" s="339"/>
      <c r="Q22" s="339"/>
      <c r="S22" s="48">
        <f t="shared" si="1"/>
        <v>0</v>
      </c>
      <c r="T22" s="49">
        <f t="shared" si="2"/>
        <v>0</v>
      </c>
      <c r="U22" s="49">
        <f t="shared" si="6"/>
        <v>0</v>
      </c>
      <c r="V22" s="49">
        <f t="shared" si="7"/>
        <v>0</v>
      </c>
      <c r="W22" s="49">
        <f t="shared" si="8"/>
        <v>0</v>
      </c>
    </row>
    <row r="23" spans="2:33" ht="40" customHeight="1" thickBot="1" x14ac:dyDescent="0.3">
      <c r="B23" s="323"/>
      <c r="C23" s="347" t="s">
        <v>718</v>
      </c>
      <c r="D23" s="348"/>
      <c r="E23" s="348"/>
      <c r="F23" s="337"/>
      <c r="G23" s="337"/>
      <c r="H23" s="366" t="s">
        <v>42</v>
      </c>
      <c r="I23" s="366"/>
      <c r="J23" s="282"/>
      <c r="K23" s="282"/>
      <c r="L23" s="282"/>
      <c r="M23" s="282"/>
      <c r="N23" s="339"/>
      <c r="O23" s="339"/>
      <c r="P23" s="339"/>
      <c r="Q23" s="339"/>
      <c r="S23" s="48">
        <f t="shared" si="1"/>
        <v>0</v>
      </c>
      <c r="T23" s="49">
        <f t="shared" si="2"/>
        <v>0</v>
      </c>
      <c r="U23" s="49">
        <f t="shared" si="6"/>
        <v>0</v>
      </c>
      <c r="V23" s="49">
        <f t="shared" si="7"/>
        <v>0</v>
      </c>
      <c r="W23" s="49">
        <f t="shared" si="8"/>
        <v>0</v>
      </c>
    </row>
    <row r="24" spans="2:33" ht="40" customHeight="1" thickBot="1" x14ac:dyDescent="0.3">
      <c r="B24" s="326"/>
      <c r="C24" s="368" t="s">
        <v>719</v>
      </c>
      <c r="D24" s="368"/>
      <c r="E24" s="368"/>
      <c r="F24" s="386"/>
      <c r="G24" s="386"/>
      <c r="H24" s="340" t="s">
        <v>42</v>
      </c>
      <c r="I24" s="340"/>
      <c r="J24" s="270"/>
      <c r="K24" s="270"/>
      <c r="L24" s="270"/>
      <c r="M24" s="270"/>
      <c r="N24" s="339"/>
      <c r="O24" s="339"/>
      <c r="P24" s="339"/>
      <c r="Q24" s="339"/>
      <c r="S24" s="75">
        <f t="shared" si="1"/>
        <v>0</v>
      </c>
      <c r="T24" s="75">
        <f t="shared" si="2"/>
        <v>0</v>
      </c>
      <c r="U24" s="75">
        <f t="shared" si="6"/>
        <v>0</v>
      </c>
      <c r="V24" s="75">
        <f t="shared" si="7"/>
        <v>0</v>
      </c>
      <c r="W24" s="75">
        <f t="shared" si="8"/>
        <v>0</v>
      </c>
      <c r="X24" s="75"/>
    </row>
    <row r="25" spans="2:33" ht="40" customHeight="1" thickBot="1" x14ac:dyDescent="0.3">
      <c r="B25" s="325">
        <v>4</v>
      </c>
      <c r="C25" s="343" t="s">
        <v>720</v>
      </c>
      <c r="D25" s="343"/>
      <c r="E25" s="343"/>
      <c r="F25" s="361" t="s">
        <v>737</v>
      </c>
      <c r="G25" s="362"/>
      <c r="H25" s="365" t="s">
        <v>42</v>
      </c>
      <c r="I25" s="365"/>
      <c r="J25" s="351" t="s">
        <v>1084</v>
      </c>
      <c r="K25" s="352"/>
      <c r="L25" s="352"/>
      <c r="M25" s="352"/>
      <c r="N25" s="401"/>
      <c r="O25" s="401"/>
      <c r="P25" s="401"/>
      <c r="Q25" s="401"/>
      <c r="S25" s="49">
        <f t="shared" si="1"/>
        <v>0</v>
      </c>
      <c r="T25" s="49">
        <f t="shared" si="2"/>
        <v>0</v>
      </c>
      <c r="U25" s="49">
        <f t="shared" si="6"/>
        <v>0</v>
      </c>
      <c r="V25" s="49">
        <f t="shared" si="7"/>
        <v>0</v>
      </c>
      <c r="W25" s="49">
        <f t="shared" si="8"/>
        <v>0</v>
      </c>
      <c r="X25" s="143">
        <f>IFERROR(SUM(T25:W27)/COUNTIF(H25:H27,"&lt;&gt;Nicht anwendbar"),"n.a.")</f>
        <v>0</v>
      </c>
      <c r="Y25" s="48">
        <f>IF(Y21=1,X25,0)</f>
        <v>0</v>
      </c>
    </row>
    <row r="26" spans="2:33" ht="40" customHeight="1" thickBot="1" x14ac:dyDescent="0.3">
      <c r="B26" s="323"/>
      <c r="C26" s="330" t="s">
        <v>721</v>
      </c>
      <c r="D26" s="330"/>
      <c r="E26" s="330"/>
      <c r="F26" s="307"/>
      <c r="G26" s="307"/>
      <c r="H26" s="366" t="s">
        <v>42</v>
      </c>
      <c r="I26" s="366"/>
      <c r="J26" s="286"/>
      <c r="K26" s="286"/>
      <c r="L26" s="286"/>
      <c r="M26" s="286"/>
      <c r="N26" s="339"/>
      <c r="O26" s="339"/>
      <c r="P26" s="339"/>
      <c r="Q26" s="339"/>
      <c r="S26" s="49">
        <f t="shared" si="1"/>
        <v>0</v>
      </c>
      <c r="T26" s="49">
        <f t="shared" si="2"/>
        <v>0</v>
      </c>
      <c r="U26" s="49">
        <f t="shared" si="6"/>
        <v>0</v>
      </c>
      <c r="V26" s="49">
        <f t="shared" si="7"/>
        <v>0</v>
      </c>
      <c r="W26" s="49">
        <f t="shared" si="8"/>
        <v>0</v>
      </c>
      <c r="X26" s="49"/>
    </row>
    <row r="27" spans="2:33" ht="40" customHeight="1" thickBot="1" x14ac:dyDescent="0.3">
      <c r="B27" s="323"/>
      <c r="C27" s="350" t="s">
        <v>1160</v>
      </c>
      <c r="D27" s="350"/>
      <c r="E27" s="350"/>
      <c r="F27" s="308"/>
      <c r="G27" s="308"/>
      <c r="H27" s="340" t="s">
        <v>42</v>
      </c>
      <c r="I27" s="340"/>
      <c r="J27" s="275"/>
      <c r="K27" s="275"/>
      <c r="L27" s="275"/>
      <c r="M27" s="275"/>
      <c r="N27" s="414"/>
      <c r="O27" s="414"/>
      <c r="P27" s="414"/>
      <c r="Q27" s="414"/>
      <c r="S27" s="149">
        <f t="shared" si="1"/>
        <v>0</v>
      </c>
      <c r="T27" s="149">
        <f t="shared" si="2"/>
        <v>0</v>
      </c>
      <c r="U27" s="149">
        <f t="shared" si="6"/>
        <v>0</v>
      </c>
      <c r="V27" s="149">
        <f t="shared" si="7"/>
        <v>0</v>
      </c>
      <c r="W27" s="149">
        <f t="shared" si="8"/>
        <v>0</v>
      </c>
      <c r="X27" s="149"/>
    </row>
    <row r="28" spans="2:33" ht="40" customHeight="1" thickBot="1" x14ac:dyDescent="0.3">
      <c r="B28" s="325">
        <v>5</v>
      </c>
      <c r="C28" s="343" t="s">
        <v>722</v>
      </c>
      <c r="D28" s="343"/>
      <c r="E28" s="343"/>
      <c r="F28" s="361" t="s">
        <v>738</v>
      </c>
      <c r="G28" s="362"/>
      <c r="H28" s="365" t="s">
        <v>42</v>
      </c>
      <c r="I28" s="365"/>
      <c r="J28" s="351" t="s">
        <v>1083</v>
      </c>
      <c r="K28" s="352"/>
      <c r="L28" s="352"/>
      <c r="M28" s="352"/>
      <c r="N28" s="401"/>
      <c r="O28" s="401"/>
      <c r="P28" s="401"/>
      <c r="Q28" s="401"/>
      <c r="S28" s="157">
        <f t="shared" si="1"/>
        <v>0</v>
      </c>
      <c r="T28" s="157">
        <f t="shared" si="2"/>
        <v>0</v>
      </c>
      <c r="U28" s="157">
        <f t="shared" si="6"/>
        <v>0</v>
      </c>
      <c r="V28" s="157">
        <f t="shared" si="7"/>
        <v>0</v>
      </c>
      <c r="W28" s="157">
        <f t="shared" si="8"/>
        <v>0</v>
      </c>
      <c r="X28" s="143">
        <f>IFERROR(SUM(T28:W30)/COUNTIF(H28:H30,"&lt;&gt;Nicht anwendbar"),"n.a.")</f>
        <v>0</v>
      </c>
      <c r="Y28" s="48">
        <f>IF(Y25=1,X28,0)</f>
        <v>0</v>
      </c>
    </row>
    <row r="29" spans="2:33" ht="40" customHeight="1" thickBot="1" x14ac:dyDescent="0.3">
      <c r="B29" s="323"/>
      <c r="C29" s="330" t="s">
        <v>723</v>
      </c>
      <c r="D29" s="330"/>
      <c r="E29" s="330"/>
      <c r="F29" s="350"/>
      <c r="G29" s="307"/>
      <c r="H29" s="366" t="s">
        <v>42</v>
      </c>
      <c r="I29" s="366"/>
      <c r="J29" s="286"/>
      <c r="K29" s="286"/>
      <c r="L29" s="286"/>
      <c r="M29" s="286"/>
      <c r="N29" s="339"/>
      <c r="O29" s="339"/>
      <c r="P29" s="339"/>
      <c r="Q29" s="339"/>
      <c r="S29" s="49">
        <f t="shared" si="1"/>
        <v>0</v>
      </c>
      <c r="T29" s="49">
        <f t="shared" si="2"/>
        <v>0</v>
      </c>
      <c r="U29" s="49">
        <f t="shared" ref="U29" si="9">IF(H29="In den meisten Fällen",0.75,0)</f>
        <v>0</v>
      </c>
      <c r="V29" s="49">
        <f t="shared" ref="V29" si="10">IF(H29="In ein Paar Fällen",0.5,0)</f>
        <v>0</v>
      </c>
      <c r="W29" s="49">
        <f t="shared" ref="W29" si="11">IF(H29="Gar nicht",0,0)</f>
        <v>0</v>
      </c>
      <c r="X29" s="49"/>
    </row>
    <row r="30" spans="2:33" ht="40" customHeight="1" thickBot="1" x14ac:dyDescent="0.3">
      <c r="B30" s="326"/>
      <c r="C30" s="310" t="s">
        <v>713</v>
      </c>
      <c r="D30" s="310"/>
      <c r="E30" s="310"/>
      <c r="F30" s="308"/>
      <c r="G30" s="308"/>
      <c r="H30" s="340" t="s">
        <v>42</v>
      </c>
      <c r="I30" s="340"/>
      <c r="J30" s="275"/>
      <c r="K30" s="275"/>
      <c r="L30" s="275"/>
      <c r="M30" s="275"/>
      <c r="N30" s="414"/>
      <c r="O30" s="414"/>
      <c r="P30" s="414"/>
      <c r="Q30" s="414"/>
      <c r="S30" s="149">
        <f t="shared" si="1"/>
        <v>0</v>
      </c>
      <c r="T30" s="149">
        <f t="shared" si="2"/>
        <v>0</v>
      </c>
      <c r="U30" s="149">
        <f t="shared" si="6"/>
        <v>0</v>
      </c>
      <c r="V30" s="149">
        <f t="shared" si="7"/>
        <v>0</v>
      </c>
      <c r="W30" s="149">
        <f t="shared" si="8"/>
        <v>0</v>
      </c>
      <c r="X30" s="149"/>
    </row>
  </sheetData>
  <sheetProtection formatCells="0"/>
  <protectedRanges>
    <protectedRange sqref="N31:Q32" name="Bereich1"/>
    <protectedRange sqref="N21:Q21 N18:Q18 N28:Q28 N25:Q25" name="Bereich1_1"/>
  </protectedRanges>
  <mergeCells count="72">
    <mergeCell ref="J21:M24"/>
    <mergeCell ref="J25:M27"/>
    <mergeCell ref="J28:M30"/>
    <mergeCell ref="B28:B30"/>
    <mergeCell ref="C28:E28"/>
    <mergeCell ref="F28:G30"/>
    <mergeCell ref="H28:I28"/>
    <mergeCell ref="C30:E30"/>
    <mergeCell ref="H30:I30"/>
    <mergeCell ref="C29:E29"/>
    <mergeCell ref="H29:I29"/>
    <mergeCell ref="B25:B27"/>
    <mergeCell ref="C25:E25"/>
    <mergeCell ref="F25:G27"/>
    <mergeCell ref="H25:I25"/>
    <mergeCell ref="C26:E26"/>
    <mergeCell ref="H26:I26"/>
    <mergeCell ref="C27:E27"/>
    <mergeCell ref="H27:I27"/>
    <mergeCell ref="B18:B20"/>
    <mergeCell ref="C23:E23"/>
    <mergeCell ref="H23:I23"/>
    <mergeCell ref="B21:B24"/>
    <mergeCell ref="C21:E21"/>
    <mergeCell ref="F21:G24"/>
    <mergeCell ref="H21:I21"/>
    <mergeCell ref="C22:E22"/>
    <mergeCell ref="H22:I22"/>
    <mergeCell ref="C24:E24"/>
    <mergeCell ref="H24:I24"/>
    <mergeCell ref="C18:E18"/>
    <mergeCell ref="F18:G20"/>
    <mergeCell ref="C10:M10"/>
    <mergeCell ref="C14:E14"/>
    <mergeCell ref="F14:G14"/>
    <mergeCell ref="H14:I14"/>
    <mergeCell ref="J14:M14"/>
    <mergeCell ref="B4:M4"/>
    <mergeCell ref="C6:G6"/>
    <mergeCell ref="C7:M7"/>
    <mergeCell ref="C8:M8"/>
    <mergeCell ref="C9:M9"/>
    <mergeCell ref="C16:E16"/>
    <mergeCell ref="H16:I16"/>
    <mergeCell ref="J16:M17"/>
    <mergeCell ref="J18:M20"/>
    <mergeCell ref="B15:M15"/>
    <mergeCell ref="C17:E17"/>
    <mergeCell ref="H17:I17"/>
    <mergeCell ref="B16:B17"/>
    <mergeCell ref="F16:G17"/>
    <mergeCell ref="H18:I18"/>
    <mergeCell ref="C19:E19"/>
    <mergeCell ref="H19:I19"/>
    <mergeCell ref="C20:E20"/>
    <mergeCell ref="H20:I20"/>
    <mergeCell ref="N14:Q14"/>
    <mergeCell ref="N16:Q16"/>
    <mergeCell ref="N17:Q17"/>
    <mergeCell ref="N18:Q18"/>
    <mergeCell ref="N19:Q19"/>
    <mergeCell ref="N20:Q20"/>
    <mergeCell ref="N21:Q21"/>
    <mergeCell ref="N22:Q22"/>
    <mergeCell ref="N23:Q23"/>
    <mergeCell ref="N24:Q24"/>
    <mergeCell ref="N25:Q25"/>
    <mergeCell ref="N26:Q26"/>
    <mergeCell ref="N27:Q27"/>
    <mergeCell ref="N30:Q30"/>
    <mergeCell ref="N28:Q28"/>
    <mergeCell ref="N29:Q29"/>
  </mergeCells>
  <conditionalFormatting sqref="H18:I28 H30:I30">
    <cfRule type="containsText" dxfId="7" priority="4" operator="containsText" text="Bitte auswählen">
      <formula>NOT(ISERROR(SEARCH("Bitte auswählen",H18)))</formula>
    </cfRule>
  </conditionalFormatting>
  <conditionalFormatting sqref="H17:I17">
    <cfRule type="containsText" dxfId="6" priority="3" operator="containsText" text="Bitte auswählen">
      <formula>NOT(ISERROR(SEARCH("Bitte auswählen",H17)))</formula>
    </cfRule>
  </conditionalFormatting>
  <conditionalFormatting sqref="H16:I16">
    <cfRule type="containsText" dxfId="5" priority="2" operator="containsText" text="Bitte auswählen">
      <formula>NOT(ISERROR(SEARCH("Bitte auswählen",H16)))</formula>
    </cfRule>
  </conditionalFormatting>
  <conditionalFormatting sqref="H29:I29">
    <cfRule type="containsText" dxfId="4" priority="1" operator="containsText" text="Bitte auswählen">
      <formula>NOT(ISERROR(SEARCH("Bitte auswählen",H29)))</formula>
    </cfRule>
  </conditionalFormatting>
  <dataValidations xWindow="782" yWindow="420" count="2">
    <dataValidation allowBlank="1" showInputMessage="1" showErrorMessage="1" promptTitle="[+] Klicken" prompt="Hier können Sie sich erweiterte Informationen zu dem Prozess anzeigen lassen." sqref="A11" xr:uid="{0121E093-07C7-4A78-9769-4E0CFEE8CDB1}"/>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0D5D6E12-582E-4527-B852-BE6C63E8AC12}"/>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782" yWindow="420" count="1">
        <x14:dataValidation type="list" allowBlank="1" showInputMessage="1" showErrorMessage="1" xr:uid="{F7D33572-6C1E-41EF-9A20-C4C45BD21FDC}">
          <x14:formula1>
            <xm:f>Data!$I$3:$I$8</xm:f>
          </x14:formula1>
          <xm:sqref>H16:I30</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B6FE6-69B2-41B1-BEC9-7ACE15EE9338}">
  <sheetPr>
    <tabColor theme="5"/>
    <pageSetUpPr fitToPage="1"/>
  </sheetPr>
  <dimension ref="B4:AG26"/>
  <sheetViews>
    <sheetView showGridLines="0" zoomScale="90" zoomScaleNormal="90" zoomScalePageLayoutView="85" workbookViewId="0"/>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68.54296875" style="48" hidden="1" customWidth="1" outlineLevel="1"/>
    <col min="7" max="7" width="26.453125" style="48" hidden="1" customWidth="1" outlineLevel="1"/>
    <col min="8" max="8" width="11.453125" style="48" collapsed="1"/>
    <col min="9" max="10" width="11.453125" style="48"/>
    <col min="11" max="11" width="13.26953125" style="48" customWidth="1"/>
    <col min="12" max="12" width="11.453125" style="48"/>
    <col min="13" max="13" width="19.81640625" style="48" customWidth="1"/>
    <col min="14" max="14" width="11.453125" style="48"/>
    <col min="15" max="15" width="13.26953125" style="48" customWidth="1"/>
    <col min="16" max="16" width="11.453125" style="48"/>
    <col min="17" max="17" width="24.81640625" style="48" customWidth="1"/>
    <col min="18" max="18" width="11.453125" style="49"/>
    <col min="19" max="24" width="11.453125" style="48" customWidth="1"/>
    <col min="25" max="25" width="14" style="48" customWidth="1"/>
    <col min="26" max="32" width="11.453125" style="48" customWidth="1"/>
    <col min="33" max="33" width="11.453125" style="48" hidden="1" customWidth="1"/>
    <col min="34" max="16384" width="11.453125" style="48"/>
  </cols>
  <sheetData>
    <row r="4" spans="2:33" ht="14" x14ac:dyDescent="0.3">
      <c r="B4" s="290" t="s">
        <v>39</v>
      </c>
      <c r="C4" s="290"/>
      <c r="D4" s="290"/>
      <c r="E4" s="290"/>
      <c r="F4" s="290"/>
      <c r="G4" s="290"/>
      <c r="H4" s="290"/>
      <c r="I4" s="290"/>
      <c r="J4" s="290"/>
      <c r="K4" s="290"/>
      <c r="L4" s="290"/>
      <c r="M4" s="290"/>
      <c r="N4" s="216"/>
      <c r="O4" s="216"/>
      <c r="P4" s="216"/>
      <c r="Q4" s="216"/>
    </row>
    <row r="5" spans="2:33" ht="9" customHeight="1" x14ac:dyDescent="0.25"/>
    <row r="6" spans="2:33" ht="32.25" customHeight="1" thickBot="1" x14ac:dyDescent="0.3">
      <c r="B6" s="77" t="s">
        <v>152</v>
      </c>
      <c r="C6" s="293" t="s">
        <v>183</v>
      </c>
      <c r="D6" s="293"/>
      <c r="E6" s="293"/>
      <c r="F6" s="293"/>
      <c r="G6" s="293"/>
      <c r="H6" s="53"/>
      <c r="I6" s="53"/>
      <c r="J6" s="53"/>
      <c r="K6" s="53" t="s">
        <v>36</v>
      </c>
      <c r="L6" s="55">
        <f>ROUNDDOWN(Z16/0.25,0)*0.25</f>
        <v>0</v>
      </c>
      <c r="M6" s="54" t="str">
        <f>IF(L6&lt;1,"Unvollständig",IF(L6&lt;2,"Initial",IF(L6&lt;3,"Gemanagt",IF(L6&lt;4,"Definiert",IF(L6&lt;5,"Quantitativ gemanagt",IF(L6&lt;6,"Optimiert","Ausstehend"))))))</f>
        <v>Unvollständig</v>
      </c>
      <c r="N6" s="53"/>
      <c r="O6" s="53"/>
      <c r="P6" s="55"/>
      <c r="Q6" s="54"/>
    </row>
    <row r="7" spans="2:33" ht="35.25" hidden="1" customHeight="1" outlineLevel="1" x14ac:dyDescent="0.25">
      <c r="B7" s="76" t="s">
        <v>211</v>
      </c>
      <c r="C7" s="294" t="s">
        <v>739</v>
      </c>
      <c r="D7" s="295"/>
      <c r="E7" s="295"/>
      <c r="F7" s="295"/>
      <c r="G7" s="295"/>
      <c r="H7" s="295"/>
      <c r="I7" s="295"/>
      <c r="J7" s="295"/>
      <c r="K7" s="295"/>
      <c r="L7" s="295"/>
      <c r="M7" s="296"/>
      <c r="N7" s="218"/>
      <c r="O7" s="218"/>
      <c r="P7" s="218"/>
      <c r="Q7" s="218"/>
    </row>
    <row r="8" spans="2:33" ht="70.5" hidden="1" customHeight="1" outlineLevel="1" x14ac:dyDescent="0.25">
      <c r="B8" s="51" t="s">
        <v>212</v>
      </c>
      <c r="C8" s="297" t="s">
        <v>748</v>
      </c>
      <c r="D8" s="298"/>
      <c r="E8" s="298"/>
      <c r="F8" s="298"/>
      <c r="G8" s="298"/>
      <c r="H8" s="298"/>
      <c r="I8" s="298"/>
      <c r="J8" s="298"/>
      <c r="K8" s="298"/>
      <c r="L8" s="298"/>
      <c r="M8" s="299"/>
      <c r="N8" s="217"/>
      <c r="O8" s="217"/>
      <c r="P8" s="217"/>
      <c r="Q8" s="217"/>
    </row>
    <row r="9" spans="2:33" ht="75" hidden="1" customHeight="1" outlineLevel="1" x14ac:dyDescent="0.25">
      <c r="B9" s="51" t="s">
        <v>30</v>
      </c>
      <c r="C9" s="300" t="s">
        <v>749</v>
      </c>
      <c r="D9" s="301"/>
      <c r="E9" s="301"/>
      <c r="F9" s="301"/>
      <c r="G9" s="301"/>
      <c r="H9" s="301"/>
      <c r="I9" s="301"/>
      <c r="J9" s="301"/>
      <c r="K9" s="301"/>
      <c r="L9" s="301"/>
      <c r="M9" s="302"/>
      <c r="N9" s="218"/>
      <c r="O9" s="218"/>
      <c r="P9" s="218"/>
      <c r="Q9" s="218"/>
    </row>
    <row r="10" spans="2:33" ht="65.25" hidden="1" customHeight="1" outlineLevel="1" x14ac:dyDescent="0.25">
      <c r="B10" s="51" t="s">
        <v>31</v>
      </c>
      <c r="C10" s="300" t="s">
        <v>750</v>
      </c>
      <c r="D10" s="301"/>
      <c r="E10" s="301"/>
      <c r="F10" s="301"/>
      <c r="G10" s="301"/>
      <c r="H10" s="301"/>
      <c r="I10" s="301"/>
      <c r="J10" s="301"/>
      <c r="K10" s="301"/>
      <c r="L10" s="301"/>
      <c r="M10" s="302"/>
      <c r="N10" s="218"/>
      <c r="O10" s="218"/>
      <c r="P10" s="218"/>
      <c r="Q10" s="218"/>
    </row>
    <row r="11" spans="2:33" collapsed="1" x14ac:dyDescent="0.25"/>
    <row r="12" spans="2:33" ht="13" x14ac:dyDescent="0.3">
      <c r="B12" s="50" t="s">
        <v>33</v>
      </c>
      <c r="C12" s="49"/>
    </row>
    <row r="13" spans="2:33" ht="6.75" customHeight="1" x14ac:dyDescent="0.25"/>
    <row r="14" spans="2:33" ht="21.75" customHeight="1" x14ac:dyDescent="0.25">
      <c r="B14" s="52" t="s">
        <v>34</v>
      </c>
      <c r="C14" s="353" t="s">
        <v>37</v>
      </c>
      <c r="D14" s="354"/>
      <c r="E14" s="355"/>
      <c r="F14" s="341" t="s">
        <v>67</v>
      </c>
      <c r="G14" s="356"/>
      <c r="H14" s="341" t="s">
        <v>3</v>
      </c>
      <c r="I14" s="356"/>
      <c r="J14" s="341" t="s">
        <v>886</v>
      </c>
      <c r="K14" s="342"/>
      <c r="L14" s="342"/>
      <c r="M14" s="342"/>
      <c r="N14" s="341" t="s">
        <v>38</v>
      </c>
      <c r="O14" s="342"/>
      <c r="P14" s="342"/>
      <c r="Q14" s="342"/>
      <c r="S14" s="149"/>
      <c r="T14" s="149" t="s">
        <v>35</v>
      </c>
      <c r="U14" s="149"/>
      <c r="V14" s="149"/>
      <c r="W14" s="149"/>
      <c r="X14" s="149"/>
      <c r="Y14" s="149" t="s">
        <v>45</v>
      </c>
      <c r="Z14" s="149" t="s">
        <v>44</v>
      </c>
    </row>
    <row r="15" spans="2:33" ht="1.5" customHeight="1" x14ac:dyDescent="0.3">
      <c r="B15" s="314"/>
      <c r="C15" s="314"/>
      <c r="D15" s="314"/>
      <c r="E15" s="314"/>
      <c r="F15" s="314"/>
      <c r="G15" s="314"/>
      <c r="H15" s="314"/>
      <c r="I15" s="314"/>
      <c r="J15" s="314"/>
      <c r="K15" s="314"/>
      <c r="L15" s="314"/>
      <c r="M15" s="314"/>
      <c r="N15" s="219"/>
      <c r="O15" s="219"/>
      <c r="P15" s="219"/>
      <c r="Q15" s="219"/>
    </row>
    <row r="16" spans="2:33" ht="40" customHeight="1" thickBot="1" x14ac:dyDescent="0.35">
      <c r="B16" s="182">
        <v>1</v>
      </c>
      <c r="C16" s="310" t="s">
        <v>1161</v>
      </c>
      <c r="D16" s="310"/>
      <c r="E16" s="310"/>
      <c r="F16" s="310" t="s">
        <v>751</v>
      </c>
      <c r="G16" s="310"/>
      <c r="H16" s="340" t="s">
        <v>42</v>
      </c>
      <c r="I16" s="340"/>
      <c r="J16" s="340" t="s">
        <v>29</v>
      </c>
      <c r="K16" s="340"/>
      <c r="L16" s="340"/>
      <c r="M16" s="340"/>
      <c r="N16" s="359"/>
      <c r="O16" s="359"/>
      <c r="P16" s="359"/>
      <c r="Q16" s="359"/>
      <c r="S16" s="74">
        <f>IF(H16="Nicht anwendbar","n.a.",0)</f>
        <v>0</v>
      </c>
      <c r="T16" s="75">
        <f>IF(H16="Vollständig",1,0)</f>
        <v>0</v>
      </c>
      <c r="U16" s="75">
        <f>IF(H16="In den meisten Fällen",0.75,0)</f>
        <v>0</v>
      </c>
      <c r="V16" s="75">
        <f>IF(H16="In ein Paar Fällen",0.5,0)</f>
        <v>0</v>
      </c>
      <c r="W16" s="75">
        <f>IF(H16="Gar nicht",0,0)</f>
        <v>0</v>
      </c>
      <c r="X16" s="143">
        <f>IF(S16&gt;0,"n.a.",SUM(S16:W16))</f>
        <v>0</v>
      </c>
      <c r="Y16" s="48">
        <f>X16</f>
        <v>0</v>
      </c>
      <c r="Z16" s="48">
        <f>IF(Y16&lt;&gt;"n.a.",SUM(Y16,Y17,Y19,Y21,Y24),NA())</f>
        <v>0</v>
      </c>
      <c r="AG16" s="49" t="str">
        <f t="shared" ref="AG16:AG18" si="0">IF(X16&gt;0.5,"Umgesetzt","Nicht umgesetzt")</f>
        <v>Nicht umgesetzt</v>
      </c>
    </row>
    <row r="17" spans="2:33" ht="40" customHeight="1" thickBot="1" x14ac:dyDescent="0.3">
      <c r="B17" s="325">
        <v>2</v>
      </c>
      <c r="C17" s="343" t="s">
        <v>1162</v>
      </c>
      <c r="D17" s="343"/>
      <c r="E17" s="343"/>
      <c r="F17" s="361" t="s">
        <v>752</v>
      </c>
      <c r="G17" s="362"/>
      <c r="H17" s="365" t="s">
        <v>42</v>
      </c>
      <c r="I17" s="365"/>
      <c r="J17" s="351" t="s">
        <v>1085</v>
      </c>
      <c r="K17" s="352"/>
      <c r="L17" s="352"/>
      <c r="M17" s="352"/>
      <c r="N17" s="401"/>
      <c r="O17" s="401"/>
      <c r="P17" s="401"/>
      <c r="Q17" s="401"/>
      <c r="S17" s="49">
        <f t="shared" ref="S17:S26" si="1">IF(H17="Nicht anwendbar","n.a.",0)</f>
        <v>0</v>
      </c>
      <c r="T17" s="49">
        <f t="shared" ref="T17:T26" si="2">IF(H17="Vollständig",1,0)</f>
        <v>0</v>
      </c>
      <c r="U17" s="49">
        <f>IF(H17="In den meisten Fällen",0.75,0)</f>
        <v>0</v>
      </c>
      <c r="V17" s="49">
        <f>IF(H17="In ein Paar Fällen",0.5,0)</f>
        <v>0</v>
      </c>
      <c r="W17" s="49">
        <f>IF(H17="Gar nicht",0,0)</f>
        <v>0</v>
      </c>
      <c r="X17" s="143">
        <f>IFERROR(SUM(T17:W18)/COUNTIF(H17:H18,"&lt;&gt;Nicht anwendbar"),"n.a.")</f>
        <v>0</v>
      </c>
      <c r="Y17" s="48">
        <f>IF(X16=1,X17,0)</f>
        <v>0</v>
      </c>
      <c r="AG17" s="49" t="str">
        <f t="shared" si="0"/>
        <v>Nicht umgesetzt</v>
      </c>
    </row>
    <row r="18" spans="2:33" ht="40" customHeight="1" thickBot="1" x14ac:dyDescent="0.3">
      <c r="B18" s="326"/>
      <c r="C18" s="308" t="s">
        <v>740</v>
      </c>
      <c r="D18" s="308"/>
      <c r="E18" s="308"/>
      <c r="F18" s="308"/>
      <c r="G18" s="308"/>
      <c r="H18" s="340" t="s">
        <v>42</v>
      </c>
      <c r="I18" s="340"/>
      <c r="J18" s="275"/>
      <c r="K18" s="275"/>
      <c r="L18" s="275"/>
      <c r="M18" s="275"/>
      <c r="N18" s="339"/>
      <c r="O18" s="339"/>
      <c r="P18" s="339"/>
      <c r="Q18" s="339"/>
      <c r="S18" s="75">
        <f t="shared" si="1"/>
        <v>0</v>
      </c>
      <c r="T18" s="75">
        <f t="shared" si="2"/>
        <v>0</v>
      </c>
      <c r="U18" s="75">
        <f t="shared" ref="U18:U26" si="3">IF(H18="In den meisten Fällen",0.75,0)</f>
        <v>0</v>
      </c>
      <c r="V18" s="75">
        <f t="shared" ref="V18:V26" si="4">IF(H18="In ein Paar Fällen",0.5,0)</f>
        <v>0</v>
      </c>
      <c r="W18" s="75">
        <f t="shared" ref="W18:W26" si="5">IF(H18="Gar nicht",0,0)</f>
        <v>0</v>
      </c>
      <c r="X18" s="75"/>
      <c r="AG18" s="49" t="str">
        <f t="shared" si="0"/>
        <v>Nicht umgesetzt</v>
      </c>
    </row>
    <row r="19" spans="2:33" ht="40" customHeight="1" thickBot="1" x14ac:dyDescent="0.3">
      <c r="B19" s="325">
        <v>3</v>
      </c>
      <c r="C19" s="391" t="s">
        <v>1038</v>
      </c>
      <c r="D19" s="391"/>
      <c r="E19" s="391"/>
      <c r="F19" s="370" t="s">
        <v>753</v>
      </c>
      <c r="G19" s="371"/>
      <c r="H19" s="365" t="s">
        <v>42</v>
      </c>
      <c r="I19" s="365"/>
      <c r="J19" s="357" t="s">
        <v>1086</v>
      </c>
      <c r="K19" s="358"/>
      <c r="L19" s="358"/>
      <c r="M19" s="358"/>
      <c r="N19" s="401"/>
      <c r="O19" s="401"/>
      <c r="P19" s="401"/>
      <c r="Q19" s="401"/>
      <c r="S19" s="48">
        <f t="shared" si="1"/>
        <v>0</v>
      </c>
      <c r="T19" s="49">
        <f t="shared" si="2"/>
        <v>0</v>
      </c>
      <c r="U19" s="49">
        <f t="shared" si="3"/>
        <v>0</v>
      </c>
      <c r="V19" s="49">
        <f t="shared" si="4"/>
        <v>0</v>
      </c>
      <c r="W19" s="49">
        <f t="shared" si="5"/>
        <v>0</v>
      </c>
      <c r="X19" s="143">
        <f>IFERROR(SUM(T19:W20)/COUNTIF(H19:H20,"&lt;&gt;Nicht anwendbar"),"n.a.")</f>
        <v>0</v>
      </c>
      <c r="Y19" s="48">
        <f>IF(Y17=1,X19,0)</f>
        <v>0</v>
      </c>
    </row>
    <row r="20" spans="2:33" ht="40" customHeight="1" thickBot="1" x14ac:dyDescent="0.3">
      <c r="B20" s="326"/>
      <c r="C20" s="368" t="s">
        <v>741</v>
      </c>
      <c r="D20" s="368"/>
      <c r="E20" s="368"/>
      <c r="F20" s="386"/>
      <c r="G20" s="386"/>
      <c r="H20" s="340" t="s">
        <v>42</v>
      </c>
      <c r="I20" s="340"/>
      <c r="J20" s="270"/>
      <c r="K20" s="270"/>
      <c r="L20" s="270"/>
      <c r="M20" s="270"/>
      <c r="N20" s="339"/>
      <c r="O20" s="339"/>
      <c r="P20" s="339"/>
      <c r="Q20" s="339"/>
      <c r="S20" s="75">
        <f t="shared" si="1"/>
        <v>0</v>
      </c>
      <c r="T20" s="75">
        <f t="shared" si="2"/>
        <v>0</v>
      </c>
      <c r="U20" s="75">
        <f t="shared" si="3"/>
        <v>0</v>
      </c>
      <c r="V20" s="75">
        <f t="shared" si="4"/>
        <v>0</v>
      </c>
      <c r="W20" s="75">
        <f t="shared" si="5"/>
        <v>0</v>
      </c>
      <c r="X20" s="75"/>
    </row>
    <row r="21" spans="2:33" ht="40" customHeight="1" thickBot="1" x14ac:dyDescent="0.3">
      <c r="B21" s="325">
        <v>4</v>
      </c>
      <c r="C21" s="343" t="s">
        <v>742</v>
      </c>
      <c r="D21" s="343"/>
      <c r="E21" s="343"/>
      <c r="F21" s="361" t="s">
        <v>754</v>
      </c>
      <c r="G21" s="362"/>
      <c r="H21" s="365" t="s">
        <v>42</v>
      </c>
      <c r="I21" s="365"/>
      <c r="J21" s="351" t="s">
        <v>1087</v>
      </c>
      <c r="K21" s="352"/>
      <c r="L21" s="352"/>
      <c r="M21" s="352"/>
      <c r="N21" s="401"/>
      <c r="O21" s="401"/>
      <c r="P21" s="401"/>
      <c r="Q21" s="401"/>
      <c r="S21" s="49">
        <f t="shared" si="1"/>
        <v>0</v>
      </c>
      <c r="T21" s="49">
        <f t="shared" si="2"/>
        <v>0</v>
      </c>
      <c r="U21" s="49">
        <f t="shared" si="3"/>
        <v>0</v>
      </c>
      <c r="V21" s="49">
        <f t="shared" si="4"/>
        <v>0</v>
      </c>
      <c r="W21" s="49">
        <f t="shared" si="5"/>
        <v>0</v>
      </c>
      <c r="X21" s="143">
        <f>IFERROR(SUM(T21:W23)/COUNTIF(H21:H23,"&lt;&gt;Nicht anwendbar"),"n.a.")</f>
        <v>0</v>
      </c>
      <c r="Y21" s="48">
        <f>IF(Y19=1,X21,0)</f>
        <v>0</v>
      </c>
    </row>
    <row r="22" spans="2:33" ht="40" customHeight="1" thickBot="1" x14ac:dyDescent="0.3">
      <c r="B22" s="323"/>
      <c r="C22" s="330" t="s">
        <v>743</v>
      </c>
      <c r="D22" s="330"/>
      <c r="E22" s="330"/>
      <c r="F22" s="307"/>
      <c r="G22" s="307"/>
      <c r="H22" s="366" t="s">
        <v>42</v>
      </c>
      <c r="I22" s="366"/>
      <c r="J22" s="286"/>
      <c r="K22" s="286"/>
      <c r="L22" s="286"/>
      <c r="M22" s="286"/>
      <c r="N22" s="339"/>
      <c r="O22" s="339"/>
      <c r="P22" s="339"/>
      <c r="Q22" s="339"/>
      <c r="S22" s="49">
        <f t="shared" si="1"/>
        <v>0</v>
      </c>
      <c r="T22" s="49">
        <f t="shared" si="2"/>
        <v>0</v>
      </c>
      <c r="U22" s="49">
        <f t="shared" si="3"/>
        <v>0</v>
      </c>
      <c r="V22" s="49">
        <f t="shared" si="4"/>
        <v>0</v>
      </c>
      <c r="W22" s="49">
        <f t="shared" si="5"/>
        <v>0</v>
      </c>
      <c r="X22" s="49"/>
    </row>
    <row r="23" spans="2:33" ht="40" customHeight="1" thickBot="1" x14ac:dyDescent="0.3">
      <c r="B23" s="323"/>
      <c r="C23" s="350" t="s">
        <v>744</v>
      </c>
      <c r="D23" s="350"/>
      <c r="E23" s="350"/>
      <c r="F23" s="308"/>
      <c r="G23" s="308"/>
      <c r="H23" s="340" t="s">
        <v>42</v>
      </c>
      <c r="I23" s="340"/>
      <c r="J23" s="275"/>
      <c r="K23" s="275"/>
      <c r="L23" s="275"/>
      <c r="M23" s="275"/>
      <c r="N23" s="339"/>
      <c r="O23" s="339"/>
      <c r="P23" s="339"/>
      <c r="Q23" s="339"/>
      <c r="S23" s="149">
        <f t="shared" si="1"/>
        <v>0</v>
      </c>
      <c r="T23" s="149">
        <f t="shared" si="2"/>
        <v>0</v>
      </c>
      <c r="U23" s="149">
        <f t="shared" si="3"/>
        <v>0</v>
      </c>
      <c r="V23" s="149">
        <f t="shared" si="4"/>
        <v>0</v>
      </c>
      <c r="W23" s="149">
        <f t="shared" si="5"/>
        <v>0</v>
      </c>
      <c r="X23" s="149"/>
    </row>
    <row r="24" spans="2:33" ht="40" customHeight="1" thickBot="1" x14ac:dyDescent="0.3">
      <c r="B24" s="325">
        <v>5</v>
      </c>
      <c r="C24" s="343" t="s">
        <v>745</v>
      </c>
      <c r="D24" s="343"/>
      <c r="E24" s="343"/>
      <c r="F24" s="361" t="s">
        <v>755</v>
      </c>
      <c r="G24" s="362"/>
      <c r="H24" s="365" t="s">
        <v>42</v>
      </c>
      <c r="I24" s="365"/>
      <c r="J24" s="351" t="s">
        <v>1088</v>
      </c>
      <c r="K24" s="352"/>
      <c r="L24" s="352"/>
      <c r="M24" s="352"/>
      <c r="N24" s="401"/>
      <c r="O24" s="401"/>
      <c r="P24" s="401"/>
      <c r="Q24" s="401"/>
      <c r="S24" s="157">
        <f t="shared" si="1"/>
        <v>0</v>
      </c>
      <c r="T24" s="157">
        <f t="shared" si="2"/>
        <v>0</v>
      </c>
      <c r="U24" s="157">
        <f t="shared" si="3"/>
        <v>0</v>
      </c>
      <c r="V24" s="157">
        <f t="shared" si="4"/>
        <v>0</v>
      </c>
      <c r="W24" s="157">
        <f t="shared" si="5"/>
        <v>0</v>
      </c>
      <c r="X24" s="143">
        <f>IFERROR(SUM(T24:W26)/COUNTIF(H24:H26,"&lt;&gt;Nicht anwendbar"),"n.a.")</f>
        <v>0</v>
      </c>
      <c r="Y24" s="48">
        <f>IF(Y21=1,X24,0)</f>
        <v>0</v>
      </c>
    </row>
    <row r="25" spans="2:33" ht="40" customHeight="1" thickBot="1" x14ac:dyDescent="0.3">
      <c r="B25" s="323"/>
      <c r="C25" s="330" t="s">
        <v>747</v>
      </c>
      <c r="D25" s="330"/>
      <c r="E25" s="330"/>
      <c r="F25" s="350"/>
      <c r="G25" s="307"/>
      <c r="H25" s="366" t="s">
        <v>42</v>
      </c>
      <c r="I25" s="366"/>
      <c r="J25" s="286"/>
      <c r="K25" s="286"/>
      <c r="L25" s="286"/>
      <c r="M25" s="286"/>
      <c r="N25" s="339"/>
      <c r="O25" s="339"/>
      <c r="P25" s="339"/>
      <c r="Q25" s="339"/>
      <c r="S25" s="49">
        <f t="shared" si="1"/>
        <v>0</v>
      </c>
      <c r="T25" s="49">
        <f t="shared" si="2"/>
        <v>0</v>
      </c>
      <c r="U25" s="49">
        <f t="shared" si="3"/>
        <v>0</v>
      </c>
      <c r="V25" s="49">
        <f t="shared" si="4"/>
        <v>0</v>
      </c>
      <c r="W25" s="49">
        <f t="shared" si="5"/>
        <v>0</v>
      </c>
      <c r="X25" s="49"/>
      <c r="AG25" s="49" t="str">
        <f t="shared" ref="AG25" si="6">IF(X25&gt;0.5,"Umgesetzt","Nicht umgesetzt")</f>
        <v>Nicht umgesetzt</v>
      </c>
    </row>
    <row r="26" spans="2:33" ht="40" customHeight="1" thickBot="1" x14ac:dyDescent="0.3">
      <c r="B26" s="326"/>
      <c r="C26" s="310" t="s">
        <v>746</v>
      </c>
      <c r="D26" s="310"/>
      <c r="E26" s="310"/>
      <c r="F26" s="308"/>
      <c r="G26" s="308"/>
      <c r="H26" s="340" t="s">
        <v>42</v>
      </c>
      <c r="I26" s="340"/>
      <c r="J26" s="275"/>
      <c r="K26" s="275"/>
      <c r="L26" s="275"/>
      <c r="M26" s="275"/>
      <c r="N26" s="414"/>
      <c r="O26" s="414"/>
      <c r="P26" s="414"/>
      <c r="Q26" s="414"/>
      <c r="S26" s="149">
        <f t="shared" si="1"/>
        <v>0</v>
      </c>
      <c r="T26" s="149">
        <f t="shared" si="2"/>
        <v>0</v>
      </c>
      <c r="U26" s="149">
        <f t="shared" si="3"/>
        <v>0</v>
      </c>
      <c r="V26" s="149">
        <f t="shared" si="4"/>
        <v>0</v>
      </c>
      <c r="W26" s="149">
        <f t="shared" si="5"/>
        <v>0</v>
      </c>
      <c r="X26" s="149"/>
    </row>
  </sheetData>
  <sheetProtection formatCells="0"/>
  <protectedRanges>
    <protectedRange sqref="N31:Q32" name="Bereich1"/>
    <protectedRange sqref="N21:Q21 N28:Q28 N24:Q24 N17:Q17 N19:Q19" name="Bereich1_1"/>
  </protectedRanges>
  <mergeCells count="59">
    <mergeCell ref="J19:M20"/>
    <mergeCell ref="J21:M23"/>
    <mergeCell ref="J24:M26"/>
    <mergeCell ref="B24:B26"/>
    <mergeCell ref="C24:E24"/>
    <mergeCell ref="F24:G26"/>
    <mergeCell ref="H24:I24"/>
    <mergeCell ref="C26:E26"/>
    <mergeCell ref="H26:I26"/>
    <mergeCell ref="C25:E25"/>
    <mergeCell ref="H25:I25"/>
    <mergeCell ref="B17:B18"/>
    <mergeCell ref="C20:E20"/>
    <mergeCell ref="H20:I20"/>
    <mergeCell ref="B21:B23"/>
    <mergeCell ref="C21:E21"/>
    <mergeCell ref="F21:G23"/>
    <mergeCell ref="H21:I21"/>
    <mergeCell ref="C22:E22"/>
    <mergeCell ref="H22:I22"/>
    <mergeCell ref="C23:E23"/>
    <mergeCell ref="H23:I23"/>
    <mergeCell ref="B19:B20"/>
    <mergeCell ref="C19:E19"/>
    <mergeCell ref="F19:G20"/>
    <mergeCell ref="H19:I19"/>
    <mergeCell ref="C16:E16"/>
    <mergeCell ref="F16:G16"/>
    <mergeCell ref="H16:I16"/>
    <mergeCell ref="J16:M16"/>
    <mergeCell ref="C17:E17"/>
    <mergeCell ref="F17:G18"/>
    <mergeCell ref="H17:I17"/>
    <mergeCell ref="C18:E18"/>
    <mergeCell ref="H18:I18"/>
    <mergeCell ref="J17:M18"/>
    <mergeCell ref="B15:M15"/>
    <mergeCell ref="B4:M4"/>
    <mergeCell ref="C6:G6"/>
    <mergeCell ref="C7:M7"/>
    <mergeCell ref="C8:M8"/>
    <mergeCell ref="C9:M9"/>
    <mergeCell ref="C10:M10"/>
    <mergeCell ref="C14:E14"/>
    <mergeCell ref="F14:G14"/>
    <mergeCell ref="H14:I14"/>
    <mergeCell ref="J14:M14"/>
    <mergeCell ref="N14:Q14"/>
    <mergeCell ref="N16:Q16"/>
    <mergeCell ref="N17:Q17"/>
    <mergeCell ref="N18:Q18"/>
    <mergeCell ref="N19:Q19"/>
    <mergeCell ref="N25:Q25"/>
    <mergeCell ref="N26:Q26"/>
    <mergeCell ref="N20:Q20"/>
    <mergeCell ref="N21:Q21"/>
    <mergeCell ref="N22:Q22"/>
    <mergeCell ref="N23:Q23"/>
    <mergeCell ref="N24:Q24"/>
  </mergeCells>
  <conditionalFormatting sqref="H16:I24 H26:I26">
    <cfRule type="containsText" dxfId="3" priority="2" operator="containsText" text="Bitte auswählen">
      <formula>NOT(ISERROR(SEARCH("Bitte auswählen",H16)))</formula>
    </cfRule>
  </conditionalFormatting>
  <conditionalFormatting sqref="H25:I25">
    <cfRule type="containsText" dxfId="2" priority="1" operator="containsText" text="Bitte auswählen">
      <formula>NOT(ISERROR(SEARCH("Bitte auswählen",H25)))</formula>
    </cfRule>
  </conditionalFormatting>
  <dataValidations xWindow="784" yWindow="403" count="2">
    <dataValidation allowBlank="1" showInputMessage="1" showErrorMessage="1" promptTitle="[+] Klicken" prompt="Hier können Sie sich erweiterte Informationen zu dem Prozess anzeigen lassen." sqref="A11" xr:uid="{F90BD28E-69D5-4CE2-BD18-1CC4E48C46D1}"/>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3B37A718-914E-4F91-8DB2-1FE973BAC090}"/>
  </dataValidations>
  <hyperlinks>
    <hyperlink ref="C19:E19" location="Glossar!A1" display="Enthalten Produkte standardisierte Schnittstellen (z. B. Ethernet, Feldbus, API), die eine Anbindung an andere Systeme erlauben?" xr:uid="{3D812584-B8B4-45ED-931C-2CC2964A8A65}"/>
  </hyperlink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784" yWindow="403" count="1">
        <x14:dataValidation type="list" allowBlank="1" showInputMessage="1" showErrorMessage="1" xr:uid="{D50E7877-96C1-4CB3-9103-69C3507A2874}">
          <x14:formula1>
            <xm:f>Data!$I$3:$I$8</xm:f>
          </x14:formula1>
          <xm:sqref>H16:I26</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DE6DA-ED9C-42E8-9B77-AE592972FD7A}">
  <sheetPr>
    <tabColor theme="5"/>
    <pageSetUpPr fitToPage="1"/>
  </sheetPr>
  <dimension ref="B4:AG27"/>
  <sheetViews>
    <sheetView showGridLines="0" topLeftCell="A6" zoomScale="90" zoomScaleNormal="90" zoomScalePageLayoutView="85" workbookViewId="0"/>
  </sheetViews>
  <sheetFormatPr baseColWidth="10" defaultColWidth="11.453125" defaultRowHeight="12.5" outlineLevelRow="1" outlineLevelCol="1" x14ac:dyDescent="0.25"/>
  <cols>
    <col min="1" max="1" width="3.1796875" style="48" customWidth="1"/>
    <col min="2" max="2" width="22.7265625" style="48" customWidth="1"/>
    <col min="3" max="3" width="15.54296875" style="48" customWidth="1"/>
    <col min="4" max="4" width="11.453125" style="48"/>
    <col min="5" max="5" width="62.1796875" style="48" customWidth="1"/>
    <col min="6" max="6" width="68.54296875" style="48" hidden="1" customWidth="1" outlineLevel="1"/>
    <col min="7" max="7" width="26.453125" style="48" hidden="1" customWidth="1" outlineLevel="1"/>
    <col min="8" max="8" width="11.453125" style="48" collapsed="1"/>
    <col min="9" max="10" width="11.453125" style="48"/>
    <col min="11" max="11" width="13.26953125" style="48" customWidth="1"/>
    <col min="12" max="12" width="11.453125" style="48"/>
    <col min="13" max="13" width="21.7265625" style="48" customWidth="1"/>
    <col min="14" max="14" width="11.453125" style="48"/>
    <col min="15" max="15" width="13.26953125" style="48" customWidth="1"/>
    <col min="16" max="16" width="11.453125" style="48"/>
    <col min="17" max="17" width="24.81640625" style="48" customWidth="1"/>
    <col min="18" max="18" width="11.453125" style="49"/>
    <col min="19" max="24" width="11.453125" style="48" customWidth="1"/>
    <col min="25" max="25" width="14" style="48" customWidth="1"/>
    <col min="26" max="32" width="11.453125" style="48" customWidth="1"/>
    <col min="33" max="33" width="11.453125" style="48" hidden="1" customWidth="1"/>
    <col min="34" max="16384" width="11.453125" style="48"/>
  </cols>
  <sheetData>
    <row r="4" spans="2:33" ht="14" x14ac:dyDescent="0.3">
      <c r="B4" s="290" t="s">
        <v>39</v>
      </c>
      <c r="C4" s="290"/>
      <c r="D4" s="290"/>
      <c r="E4" s="290"/>
      <c r="F4" s="290"/>
      <c r="G4" s="290"/>
      <c r="H4" s="290"/>
      <c r="I4" s="290"/>
      <c r="J4" s="290"/>
      <c r="K4" s="290"/>
      <c r="L4" s="290"/>
      <c r="M4" s="290"/>
      <c r="N4" s="216"/>
      <c r="O4" s="216"/>
      <c r="P4" s="216"/>
      <c r="Q4" s="216"/>
    </row>
    <row r="5" spans="2:33" ht="9" customHeight="1" x14ac:dyDescent="0.25"/>
    <row r="6" spans="2:33" ht="32.25" customHeight="1" thickBot="1" x14ac:dyDescent="0.3">
      <c r="B6" s="77" t="s">
        <v>153</v>
      </c>
      <c r="C6" s="293" t="s">
        <v>756</v>
      </c>
      <c r="D6" s="293"/>
      <c r="E6" s="293"/>
      <c r="F6" s="293"/>
      <c r="G6" s="293"/>
      <c r="H6" s="53"/>
      <c r="I6" s="53"/>
      <c r="J6" s="53"/>
      <c r="K6" s="53" t="s">
        <v>36</v>
      </c>
      <c r="L6" s="55">
        <f>ROUNDDOWN(Z16/0.25,0)*0.25</f>
        <v>0</v>
      </c>
      <c r="M6" s="54" t="str">
        <f>IF(L6&lt;1,"Unvollständig",IF(L6&lt;2,"Initial",IF(L6&lt;3,"Gemanagt",IF(L6&lt;4,"Definiert",IF(L6&lt;5,"Quantitativ gemanagt",IF(L6&lt;6,"Optimiert","Ausstehend"))))))</f>
        <v>Unvollständig</v>
      </c>
      <c r="N6" s="53"/>
      <c r="O6" s="53"/>
      <c r="P6" s="55"/>
      <c r="Q6" s="54"/>
    </row>
    <row r="7" spans="2:33" ht="35.25" hidden="1" customHeight="1" outlineLevel="1" x14ac:dyDescent="0.25">
      <c r="B7" s="76" t="s">
        <v>211</v>
      </c>
      <c r="C7" s="294" t="s">
        <v>758</v>
      </c>
      <c r="D7" s="295"/>
      <c r="E7" s="295"/>
      <c r="F7" s="295"/>
      <c r="G7" s="295"/>
      <c r="H7" s="295"/>
      <c r="I7" s="295"/>
      <c r="J7" s="295"/>
      <c r="K7" s="295"/>
      <c r="L7" s="295"/>
      <c r="M7" s="296"/>
      <c r="N7" s="218"/>
      <c r="O7" s="218"/>
      <c r="P7" s="218"/>
      <c r="Q7" s="218"/>
    </row>
    <row r="8" spans="2:33" ht="70.5" hidden="1" customHeight="1" outlineLevel="1" x14ac:dyDescent="0.25">
      <c r="B8" s="51" t="s">
        <v>212</v>
      </c>
      <c r="C8" s="297" t="s">
        <v>770</v>
      </c>
      <c r="D8" s="298"/>
      <c r="E8" s="298"/>
      <c r="F8" s="298"/>
      <c r="G8" s="298"/>
      <c r="H8" s="298"/>
      <c r="I8" s="298"/>
      <c r="J8" s="298"/>
      <c r="K8" s="298"/>
      <c r="L8" s="298"/>
      <c r="M8" s="299"/>
      <c r="N8" s="217"/>
      <c r="O8" s="217"/>
      <c r="P8" s="217"/>
      <c r="Q8" s="217"/>
    </row>
    <row r="9" spans="2:33" ht="75" hidden="1" customHeight="1" outlineLevel="1" x14ac:dyDescent="0.25">
      <c r="B9" s="51" t="s">
        <v>30</v>
      </c>
      <c r="C9" s="300" t="s">
        <v>771</v>
      </c>
      <c r="D9" s="301"/>
      <c r="E9" s="301"/>
      <c r="F9" s="301"/>
      <c r="G9" s="301"/>
      <c r="H9" s="301"/>
      <c r="I9" s="301"/>
      <c r="J9" s="301"/>
      <c r="K9" s="301"/>
      <c r="L9" s="301"/>
      <c r="M9" s="302"/>
      <c r="N9" s="218"/>
      <c r="O9" s="218"/>
      <c r="P9" s="218"/>
      <c r="Q9" s="218"/>
    </row>
    <row r="10" spans="2:33" ht="65.25" hidden="1" customHeight="1" outlineLevel="1" x14ac:dyDescent="0.25">
      <c r="B10" s="51" t="s">
        <v>31</v>
      </c>
      <c r="C10" s="300" t="s">
        <v>772</v>
      </c>
      <c r="D10" s="301"/>
      <c r="E10" s="301"/>
      <c r="F10" s="301"/>
      <c r="G10" s="301"/>
      <c r="H10" s="301"/>
      <c r="I10" s="301"/>
      <c r="J10" s="301"/>
      <c r="K10" s="301"/>
      <c r="L10" s="301"/>
      <c r="M10" s="302"/>
      <c r="N10" s="218"/>
      <c r="O10" s="218"/>
      <c r="P10" s="218"/>
      <c r="Q10" s="218"/>
    </row>
    <row r="11" spans="2:33" collapsed="1" x14ac:dyDescent="0.25"/>
    <row r="12" spans="2:33" ht="13" x14ac:dyDescent="0.3">
      <c r="B12" s="50" t="s">
        <v>33</v>
      </c>
      <c r="C12" s="49"/>
    </row>
    <row r="13" spans="2:33" ht="6.75" customHeight="1" x14ac:dyDescent="0.25"/>
    <row r="14" spans="2:33" ht="21.75" customHeight="1" x14ac:dyDescent="0.25">
      <c r="B14" s="52" t="s">
        <v>34</v>
      </c>
      <c r="C14" s="353" t="s">
        <v>37</v>
      </c>
      <c r="D14" s="354"/>
      <c r="E14" s="355"/>
      <c r="F14" s="341" t="s">
        <v>67</v>
      </c>
      <c r="G14" s="356"/>
      <c r="H14" s="341" t="s">
        <v>3</v>
      </c>
      <c r="I14" s="356"/>
      <c r="J14" s="341" t="s">
        <v>886</v>
      </c>
      <c r="K14" s="342"/>
      <c r="L14" s="342"/>
      <c r="M14" s="342"/>
      <c r="N14" s="341" t="s">
        <v>38</v>
      </c>
      <c r="O14" s="342"/>
      <c r="P14" s="342"/>
      <c r="Q14" s="342"/>
      <c r="S14" s="149"/>
      <c r="T14" s="149" t="s">
        <v>35</v>
      </c>
      <c r="U14" s="149"/>
      <c r="V14" s="149"/>
      <c r="W14" s="149"/>
      <c r="X14" s="149"/>
      <c r="Y14" s="149" t="s">
        <v>45</v>
      </c>
      <c r="Z14" s="149" t="s">
        <v>44</v>
      </c>
    </row>
    <row r="15" spans="2:33" ht="1.5" customHeight="1" x14ac:dyDescent="0.3">
      <c r="B15" s="314"/>
      <c r="C15" s="314"/>
      <c r="D15" s="314"/>
      <c r="E15" s="314"/>
      <c r="F15" s="314"/>
      <c r="G15" s="314"/>
      <c r="H15" s="314"/>
      <c r="I15" s="314"/>
      <c r="J15" s="314"/>
      <c r="K15" s="314"/>
      <c r="L15" s="314"/>
      <c r="M15" s="314"/>
      <c r="N15" s="219"/>
      <c r="O15" s="219"/>
      <c r="P15" s="219"/>
      <c r="Q15" s="219"/>
    </row>
    <row r="16" spans="2:33" ht="40" customHeight="1" thickBot="1" x14ac:dyDescent="0.35">
      <c r="B16" s="182">
        <v>1</v>
      </c>
      <c r="C16" s="310" t="s">
        <v>1176</v>
      </c>
      <c r="D16" s="310"/>
      <c r="E16" s="310"/>
      <c r="F16" s="310" t="s">
        <v>773</v>
      </c>
      <c r="G16" s="310"/>
      <c r="H16" s="340" t="s">
        <v>42</v>
      </c>
      <c r="I16" s="340"/>
      <c r="J16" s="340" t="s">
        <v>29</v>
      </c>
      <c r="K16" s="340"/>
      <c r="L16" s="340"/>
      <c r="M16" s="340"/>
      <c r="N16" s="359"/>
      <c r="O16" s="359"/>
      <c r="P16" s="359"/>
      <c r="Q16" s="359"/>
      <c r="S16" s="74">
        <f>IF(H16="Nicht anwendbar","n.a.",0)</f>
        <v>0</v>
      </c>
      <c r="T16" s="75">
        <f>IF(H16="Vollständig",1,0)</f>
        <v>0</v>
      </c>
      <c r="U16" s="75">
        <f>IF(H16="In den meisten Fällen",0.75,0)</f>
        <v>0</v>
      </c>
      <c r="V16" s="75">
        <f>IF(H16="In ein Paar Fällen",0.5,0)</f>
        <v>0</v>
      </c>
      <c r="W16" s="75">
        <f>IF(H16="Gar nicht",0,0)</f>
        <v>0</v>
      </c>
      <c r="X16" s="75">
        <f>IF(S16&gt;0,"n.a.",SUM(S16:W16))</f>
        <v>0</v>
      </c>
      <c r="Y16" s="48">
        <f>X16</f>
        <v>0</v>
      </c>
      <c r="Z16" s="48">
        <f>IF(Y16&lt;&gt;"n.a.",SUM(Y16,Y17,Y19,Y22,Y25),NA())</f>
        <v>0</v>
      </c>
      <c r="AG16" s="49" t="str">
        <f t="shared" ref="AG16:AG18" si="0">IF(X16&gt;0.5,"Umgesetzt","Nicht umgesetzt")</f>
        <v>Nicht umgesetzt</v>
      </c>
    </row>
    <row r="17" spans="2:33" ht="40" customHeight="1" thickBot="1" x14ac:dyDescent="0.3">
      <c r="B17" s="325">
        <v>2</v>
      </c>
      <c r="C17" s="343" t="s">
        <v>759</v>
      </c>
      <c r="D17" s="343"/>
      <c r="E17" s="343"/>
      <c r="F17" s="361" t="s">
        <v>774</v>
      </c>
      <c r="G17" s="362"/>
      <c r="H17" s="365" t="s">
        <v>42</v>
      </c>
      <c r="I17" s="365"/>
      <c r="J17" s="352" t="s">
        <v>1089</v>
      </c>
      <c r="K17" s="352"/>
      <c r="L17" s="352"/>
      <c r="M17" s="352"/>
      <c r="N17" s="401"/>
      <c r="O17" s="401"/>
      <c r="P17" s="401"/>
      <c r="Q17" s="401"/>
      <c r="S17" s="49">
        <f t="shared" ref="S17:S27" si="1">IF(H17="Nicht anwendbar","n.a.",0)</f>
        <v>0</v>
      </c>
      <c r="T17" s="49">
        <f t="shared" ref="T17:T27" si="2">IF(H17="Vollständig",1,0)</f>
        <v>0</v>
      </c>
      <c r="U17" s="49">
        <f>IF(H17="In den meisten Fällen",0.75,0)</f>
        <v>0</v>
      </c>
      <c r="V17" s="49">
        <f>IF(H17="In ein Paar Fällen",0.5,0)</f>
        <v>0</v>
      </c>
      <c r="W17" s="49">
        <f>IF(H17="Gar nicht",0,0)</f>
        <v>0</v>
      </c>
      <c r="X17" s="49">
        <f>IFERROR(SUM(T17:W18)/COUNTIF(H17:H18,"&lt;&gt;Nicht anwendbar"),"n.a.")</f>
        <v>0</v>
      </c>
      <c r="Y17" s="48">
        <f>IF(X16=1,X17,0)</f>
        <v>0</v>
      </c>
      <c r="AG17" s="49" t="str">
        <f t="shared" si="0"/>
        <v>Nicht umgesetzt</v>
      </c>
    </row>
    <row r="18" spans="2:33" ht="40" customHeight="1" thickBot="1" x14ac:dyDescent="0.3">
      <c r="B18" s="326"/>
      <c r="C18" s="308" t="s">
        <v>760</v>
      </c>
      <c r="D18" s="308"/>
      <c r="E18" s="308"/>
      <c r="F18" s="308"/>
      <c r="G18" s="308"/>
      <c r="H18" s="340" t="s">
        <v>42</v>
      </c>
      <c r="I18" s="340"/>
      <c r="J18" s="275"/>
      <c r="K18" s="275"/>
      <c r="L18" s="275"/>
      <c r="M18" s="275"/>
      <c r="N18" s="339"/>
      <c r="O18" s="339"/>
      <c r="P18" s="339"/>
      <c r="Q18" s="339"/>
      <c r="S18" s="75">
        <f t="shared" si="1"/>
        <v>0</v>
      </c>
      <c r="T18" s="75">
        <f t="shared" si="2"/>
        <v>0</v>
      </c>
      <c r="U18" s="75">
        <f t="shared" ref="U18:U27" si="3">IF(H18="In den meisten Fällen",0.75,0)</f>
        <v>0</v>
      </c>
      <c r="V18" s="75">
        <f t="shared" ref="V18:V27" si="4">IF(H18="In ein Paar Fällen",0.5,0)</f>
        <v>0</v>
      </c>
      <c r="W18" s="75">
        <f t="shared" ref="W18:W27" si="5">IF(H18="Gar nicht",0,0)</f>
        <v>0</v>
      </c>
      <c r="X18" s="75"/>
      <c r="AG18" s="49" t="str">
        <f t="shared" si="0"/>
        <v>Nicht umgesetzt</v>
      </c>
    </row>
    <row r="19" spans="2:33" ht="40" customHeight="1" thickBot="1" x14ac:dyDescent="0.3">
      <c r="B19" s="325">
        <v>3</v>
      </c>
      <c r="C19" s="344" t="s">
        <v>764</v>
      </c>
      <c r="D19" s="345"/>
      <c r="E19" s="345"/>
      <c r="F19" s="370" t="s">
        <v>775</v>
      </c>
      <c r="G19" s="371"/>
      <c r="H19" s="365" t="s">
        <v>42</v>
      </c>
      <c r="I19" s="365"/>
      <c r="J19" s="357" t="s">
        <v>1090</v>
      </c>
      <c r="K19" s="358"/>
      <c r="L19" s="358"/>
      <c r="M19" s="358"/>
      <c r="N19" s="401"/>
      <c r="O19" s="401"/>
      <c r="P19" s="401"/>
      <c r="Q19" s="401"/>
      <c r="S19" s="48">
        <f t="shared" si="1"/>
        <v>0</v>
      </c>
      <c r="T19" s="49">
        <f t="shared" si="2"/>
        <v>0</v>
      </c>
      <c r="U19" s="49">
        <f t="shared" si="3"/>
        <v>0</v>
      </c>
      <c r="V19" s="49">
        <f t="shared" si="4"/>
        <v>0</v>
      </c>
      <c r="W19" s="49">
        <f t="shared" si="5"/>
        <v>0</v>
      </c>
      <c r="X19" s="143">
        <f>IFERROR(SUM(T19:W21)/COUNTIF(H19:H21,"&lt;&gt;Nicht anwendbar"),"n.a.")</f>
        <v>0</v>
      </c>
      <c r="Y19" s="48">
        <f>IF(Y17=1,X19,0)</f>
        <v>0</v>
      </c>
    </row>
    <row r="20" spans="2:33" ht="40" customHeight="1" thickBot="1" x14ac:dyDescent="0.3">
      <c r="B20" s="323"/>
      <c r="C20" s="347" t="s">
        <v>765</v>
      </c>
      <c r="D20" s="348"/>
      <c r="E20" s="348"/>
      <c r="F20" s="337"/>
      <c r="G20" s="337"/>
      <c r="H20" s="366" t="s">
        <v>42</v>
      </c>
      <c r="I20" s="366"/>
      <c r="J20" s="282"/>
      <c r="K20" s="282"/>
      <c r="L20" s="282"/>
      <c r="M20" s="282"/>
      <c r="N20" s="339"/>
      <c r="O20" s="339"/>
      <c r="P20" s="339"/>
      <c r="Q20" s="339"/>
      <c r="S20" s="48">
        <f t="shared" si="1"/>
        <v>0</v>
      </c>
      <c r="T20" s="49">
        <f t="shared" si="2"/>
        <v>0</v>
      </c>
      <c r="U20" s="49">
        <f t="shared" si="3"/>
        <v>0</v>
      </c>
      <c r="V20" s="49">
        <f t="shared" si="4"/>
        <v>0</v>
      </c>
      <c r="W20" s="49">
        <f t="shared" si="5"/>
        <v>0</v>
      </c>
    </row>
    <row r="21" spans="2:33" ht="40" customHeight="1" thickBot="1" x14ac:dyDescent="0.3">
      <c r="B21" s="326"/>
      <c r="C21" s="368" t="s">
        <v>766</v>
      </c>
      <c r="D21" s="368"/>
      <c r="E21" s="368"/>
      <c r="F21" s="386"/>
      <c r="G21" s="386"/>
      <c r="H21" s="340" t="s">
        <v>42</v>
      </c>
      <c r="I21" s="340"/>
      <c r="J21" s="270"/>
      <c r="K21" s="270"/>
      <c r="L21" s="270"/>
      <c r="M21" s="270"/>
      <c r="N21" s="339"/>
      <c r="O21" s="339"/>
      <c r="P21" s="339"/>
      <c r="Q21" s="339"/>
      <c r="S21" s="75">
        <f t="shared" si="1"/>
        <v>0</v>
      </c>
      <c r="T21" s="75">
        <f t="shared" si="2"/>
        <v>0</v>
      </c>
      <c r="U21" s="75">
        <f t="shared" si="3"/>
        <v>0</v>
      </c>
      <c r="V21" s="75">
        <f t="shared" si="4"/>
        <v>0</v>
      </c>
      <c r="W21" s="75">
        <f t="shared" si="5"/>
        <v>0</v>
      </c>
      <c r="X21" s="75"/>
    </row>
    <row r="22" spans="2:33" ht="40" customHeight="1" thickBot="1" x14ac:dyDescent="0.3">
      <c r="B22" s="325">
        <v>4</v>
      </c>
      <c r="C22" s="343" t="s">
        <v>761</v>
      </c>
      <c r="D22" s="343"/>
      <c r="E22" s="343"/>
      <c r="F22" s="361" t="s">
        <v>776</v>
      </c>
      <c r="G22" s="362"/>
      <c r="H22" s="365" t="s">
        <v>42</v>
      </c>
      <c r="I22" s="365"/>
      <c r="J22" s="351" t="s">
        <v>1091</v>
      </c>
      <c r="K22" s="352"/>
      <c r="L22" s="352"/>
      <c r="M22" s="352"/>
      <c r="N22" s="401"/>
      <c r="O22" s="401"/>
      <c r="P22" s="401"/>
      <c r="Q22" s="401"/>
      <c r="S22" s="49">
        <f t="shared" si="1"/>
        <v>0</v>
      </c>
      <c r="T22" s="49">
        <f t="shared" si="2"/>
        <v>0</v>
      </c>
      <c r="U22" s="49">
        <f t="shared" si="3"/>
        <v>0</v>
      </c>
      <c r="V22" s="49">
        <f t="shared" si="4"/>
        <v>0</v>
      </c>
      <c r="W22" s="49">
        <f t="shared" si="5"/>
        <v>0</v>
      </c>
      <c r="X22" s="143">
        <f>IFERROR(SUM(T22:W24)/COUNTIF(H22:H24,"&lt;&gt;Nicht anwendbar"),"n.a.")</f>
        <v>0</v>
      </c>
      <c r="Y22" s="48">
        <f>IF(Y19=1,X22,0)</f>
        <v>0</v>
      </c>
    </row>
    <row r="23" spans="2:33" ht="40" customHeight="1" thickBot="1" x14ac:dyDescent="0.3">
      <c r="B23" s="323"/>
      <c r="C23" s="330" t="s">
        <v>762</v>
      </c>
      <c r="D23" s="330"/>
      <c r="E23" s="330"/>
      <c r="F23" s="307"/>
      <c r="G23" s="307"/>
      <c r="H23" s="366" t="s">
        <v>42</v>
      </c>
      <c r="I23" s="366"/>
      <c r="J23" s="286"/>
      <c r="K23" s="286"/>
      <c r="L23" s="286"/>
      <c r="M23" s="286"/>
      <c r="N23" s="339"/>
      <c r="O23" s="339"/>
      <c r="P23" s="339"/>
      <c r="Q23" s="339"/>
      <c r="S23" s="49">
        <f t="shared" si="1"/>
        <v>0</v>
      </c>
      <c r="T23" s="49">
        <f t="shared" si="2"/>
        <v>0</v>
      </c>
      <c r="U23" s="49">
        <f t="shared" si="3"/>
        <v>0</v>
      </c>
      <c r="V23" s="49">
        <f t="shared" si="4"/>
        <v>0</v>
      </c>
      <c r="W23" s="49">
        <f t="shared" si="5"/>
        <v>0</v>
      </c>
      <c r="X23" s="49"/>
    </row>
    <row r="24" spans="2:33" ht="40" customHeight="1" thickBot="1" x14ac:dyDescent="0.3">
      <c r="B24" s="323"/>
      <c r="C24" s="350" t="s">
        <v>763</v>
      </c>
      <c r="D24" s="350"/>
      <c r="E24" s="350"/>
      <c r="F24" s="308"/>
      <c r="G24" s="308"/>
      <c r="H24" s="340" t="s">
        <v>42</v>
      </c>
      <c r="I24" s="340"/>
      <c r="J24" s="275"/>
      <c r="K24" s="275"/>
      <c r="L24" s="275"/>
      <c r="M24" s="275"/>
      <c r="N24" s="339"/>
      <c r="O24" s="339"/>
      <c r="P24" s="339"/>
      <c r="Q24" s="339"/>
      <c r="S24" s="149">
        <f t="shared" si="1"/>
        <v>0</v>
      </c>
      <c r="T24" s="149">
        <f t="shared" si="2"/>
        <v>0</v>
      </c>
      <c r="U24" s="149">
        <f t="shared" si="3"/>
        <v>0</v>
      </c>
      <c r="V24" s="149">
        <f t="shared" si="4"/>
        <v>0</v>
      </c>
      <c r="W24" s="149">
        <f t="shared" si="5"/>
        <v>0</v>
      </c>
      <c r="X24" s="149"/>
    </row>
    <row r="25" spans="2:33" ht="40" customHeight="1" thickBot="1" x14ac:dyDescent="0.3">
      <c r="B25" s="325">
        <v>5</v>
      </c>
      <c r="C25" s="343" t="s">
        <v>767</v>
      </c>
      <c r="D25" s="343"/>
      <c r="E25" s="343"/>
      <c r="F25" s="361" t="s">
        <v>777</v>
      </c>
      <c r="G25" s="362"/>
      <c r="H25" s="365" t="s">
        <v>42</v>
      </c>
      <c r="I25" s="365"/>
      <c r="J25" s="351" t="s">
        <v>1092</v>
      </c>
      <c r="K25" s="352"/>
      <c r="L25" s="352"/>
      <c r="M25" s="352"/>
      <c r="N25" s="401"/>
      <c r="O25" s="401"/>
      <c r="P25" s="401"/>
      <c r="Q25" s="401"/>
      <c r="S25" s="157">
        <f t="shared" si="1"/>
        <v>0</v>
      </c>
      <c r="T25" s="157">
        <f t="shared" si="2"/>
        <v>0</v>
      </c>
      <c r="U25" s="157">
        <f t="shared" si="3"/>
        <v>0</v>
      </c>
      <c r="V25" s="157">
        <f t="shared" si="4"/>
        <v>0</v>
      </c>
      <c r="W25" s="157">
        <f t="shared" si="5"/>
        <v>0</v>
      </c>
      <c r="X25" s="143">
        <f>IFERROR(SUM(T25:W27)/COUNTIF(H25:H27,"&lt;&gt;Nicht anwendbar"),"n.a.")</f>
        <v>0</v>
      </c>
      <c r="Y25" s="48">
        <f>IF(Y22=1,X25,0)</f>
        <v>0</v>
      </c>
    </row>
    <row r="26" spans="2:33" ht="40" customHeight="1" thickBot="1" x14ac:dyDescent="0.3">
      <c r="B26" s="323"/>
      <c r="C26" s="347" t="s">
        <v>768</v>
      </c>
      <c r="D26" s="348"/>
      <c r="E26" s="348"/>
      <c r="F26" s="350"/>
      <c r="G26" s="307"/>
      <c r="H26" s="366" t="s">
        <v>42</v>
      </c>
      <c r="I26" s="366"/>
      <c r="J26" s="286"/>
      <c r="K26" s="286"/>
      <c r="L26" s="286"/>
      <c r="M26" s="286"/>
      <c r="N26" s="339"/>
      <c r="O26" s="339"/>
      <c r="P26" s="339"/>
      <c r="Q26" s="339"/>
      <c r="S26" s="48">
        <f t="shared" si="1"/>
        <v>0</v>
      </c>
      <c r="T26" s="49">
        <f t="shared" si="2"/>
        <v>0</v>
      </c>
      <c r="U26" s="49">
        <f t="shared" ref="U26" si="6">IF(H26="In den meisten Fällen",0.75,0)</f>
        <v>0</v>
      </c>
      <c r="V26" s="49">
        <f t="shared" ref="V26" si="7">IF(H26="In ein Paar Fällen",0.5,0)</f>
        <v>0</v>
      </c>
      <c r="W26" s="49">
        <f t="shared" ref="W26" si="8">IF(H26="Gar nicht",0,0)</f>
        <v>0</v>
      </c>
    </row>
    <row r="27" spans="2:33" ht="40" customHeight="1" thickBot="1" x14ac:dyDescent="0.3">
      <c r="B27" s="326"/>
      <c r="C27" s="310" t="s">
        <v>769</v>
      </c>
      <c r="D27" s="310"/>
      <c r="E27" s="310"/>
      <c r="F27" s="308"/>
      <c r="G27" s="308"/>
      <c r="H27" s="340" t="s">
        <v>42</v>
      </c>
      <c r="I27" s="340"/>
      <c r="J27" s="275"/>
      <c r="K27" s="275"/>
      <c r="L27" s="275"/>
      <c r="M27" s="275"/>
      <c r="N27" s="414"/>
      <c r="O27" s="414"/>
      <c r="P27" s="414"/>
      <c r="Q27" s="414"/>
      <c r="S27" s="149">
        <f t="shared" si="1"/>
        <v>0</v>
      </c>
      <c r="T27" s="149">
        <f t="shared" si="2"/>
        <v>0</v>
      </c>
      <c r="U27" s="149">
        <f t="shared" si="3"/>
        <v>0</v>
      </c>
      <c r="V27" s="149">
        <f t="shared" si="4"/>
        <v>0</v>
      </c>
      <c r="W27" s="149">
        <f t="shared" si="5"/>
        <v>0</v>
      </c>
      <c r="X27" s="149"/>
    </row>
  </sheetData>
  <sheetProtection formatCells="0"/>
  <protectedRanges>
    <protectedRange sqref="N31:Q32" name="Bereich1"/>
    <protectedRange sqref="N28:Q28 N17:Q17 N19:Q19 N22:Q22 N25:Q25" name="Bereich1_1"/>
  </protectedRanges>
  <mergeCells count="62">
    <mergeCell ref="B25:B27"/>
    <mergeCell ref="C25:E25"/>
    <mergeCell ref="F25:G27"/>
    <mergeCell ref="H25:I25"/>
    <mergeCell ref="C27:E27"/>
    <mergeCell ref="H27:I27"/>
    <mergeCell ref="C26:E26"/>
    <mergeCell ref="H26:I26"/>
    <mergeCell ref="B22:B24"/>
    <mergeCell ref="C22:E22"/>
    <mergeCell ref="F22:G24"/>
    <mergeCell ref="H22:I22"/>
    <mergeCell ref="C23:E23"/>
    <mergeCell ref="H23:I23"/>
    <mergeCell ref="C24:E24"/>
    <mergeCell ref="H24:I24"/>
    <mergeCell ref="B17:B18"/>
    <mergeCell ref="C21:E21"/>
    <mergeCell ref="H21:I21"/>
    <mergeCell ref="B19:B21"/>
    <mergeCell ref="C19:E19"/>
    <mergeCell ref="F19:G21"/>
    <mergeCell ref="H19:I19"/>
    <mergeCell ref="C20:E20"/>
    <mergeCell ref="H20:I20"/>
    <mergeCell ref="F16:G16"/>
    <mergeCell ref="H16:I16"/>
    <mergeCell ref="J16:M16"/>
    <mergeCell ref="C17:E17"/>
    <mergeCell ref="F17:G18"/>
    <mergeCell ref="H17:I17"/>
    <mergeCell ref="C18:E18"/>
    <mergeCell ref="H18:I18"/>
    <mergeCell ref="J25:M27"/>
    <mergeCell ref="J22:M24"/>
    <mergeCell ref="B15:M15"/>
    <mergeCell ref="B4:M4"/>
    <mergeCell ref="C6:G6"/>
    <mergeCell ref="C7:M7"/>
    <mergeCell ref="C8:M8"/>
    <mergeCell ref="C9:M9"/>
    <mergeCell ref="C10:M10"/>
    <mergeCell ref="C14:E14"/>
    <mergeCell ref="F14:G14"/>
    <mergeCell ref="H14:I14"/>
    <mergeCell ref="J14:M14"/>
    <mergeCell ref="J17:M18"/>
    <mergeCell ref="J19:M21"/>
    <mergeCell ref="C16:E16"/>
    <mergeCell ref="N14:Q14"/>
    <mergeCell ref="N16:Q16"/>
    <mergeCell ref="N17:Q17"/>
    <mergeCell ref="N18:Q18"/>
    <mergeCell ref="N19:Q19"/>
    <mergeCell ref="N25:Q25"/>
    <mergeCell ref="N26:Q26"/>
    <mergeCell ref="N27:Q27"/>
    <mergeCell ref="N20:Q20"/>
    <mergeCell ref="N21:Q21"/>
    <mergeCell ref="N22:Q22"/>
    <mergeCell ref="N23:Q23"/>
    <mergeCell ref="N24:Q24"/>
  </mergeCells>
  <conditionalFormatting sqref="H27:I27 H16:I25">
    <cfRule type="containsText" dxfId="1" priority="2" operator="containsText" text="Bitte auswählen">
      <formula>NOT(ISERROR(SEARCH("Bitte auswählen",H16)))</formula>
    </cfRule>
  </conditionalFormatting>
  <conditionalFormatting sqref="H26:I26">
    <cfRule type="containsText" dxfId="0" priority="1" operator="containsText" text="Bitte auswählen">
      <formula>NOT(ISERROR(SEARCH("Bitte auswählen",H26)))</formula>
    </cfRule>
  </conditionalFormatting>
  <dataValidations xWindow="778" yWindow="415" count="2">
    <dataValidation allowBlank="1" showInputMessage="1" showErrorMessage="1" promptTitle="[+] Klicken" prompt="Hier können Sie sich erweiterte Informationen zu dem Prozess anzeigen lassen." sqref="A11" xr:uid="{D477EA35-7BC9-4B0D-B210-7A0D1A682DFC}"/>
    <dataValidation errorStyle="information" showInputMessage="1" showErrorMessage="1" promptTitle="Bitte beachten!" prompt="Wenn Ihre Organisation eine höhere Stufe bereits erreicht hat und der beschriebene Zustand einer niedrigeren Stufe dadurch überwunden wurde, ist die Frage dennoch mit &quot;Vollständig&quot; zu beantworten!" sqref="A1" xr:uid="{0C658BDA-3DE0-4500-940D-5A9FB9A4A8BC}"/>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xWindow="778" yWindow="415" count="1">
        <x14:dataValidation type="list" allowBlank="1" showInputMessage="1" showErrorMessage="1" xr:uid="{F13F6DB0-B767-4561-BD81-6C27CECFAE81}">
          <x14:formula1>
            <xm:f>Data!$I$3:$I$8</xm:f>
          </x14:formula1>
          <xm:sqref>H16:I27</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H9"/>
  <sheetViews>
    <sheetView showGridLines="0" zoomScale="85" zoomScaleNormal="85" workbookViewId="0">
      <selection activeCell="D8" sqref="D8"/>
    </sheetView>
  </sheetViews>
  <sheetFormatPr baseColWidth="10" defaultColWidth="11.453125" defaultRowHeight="14" x14ac:dyDescent="0.3"/>
  <cols>
    <col min="1" max="1" width="2.81640625" style="1" customWidth="1"/>
    <col min="2" max="2" width="10.54296875" style="1" customWidth="1"/>
    <col min="3" max="3" width="31.54296875" style="102" customWidth="1"/>
    <col min="4" max="4" width="29.81640625" style="1" customWidth="1"/>
    <col min="5" max="5" width="69" style="1" bestFit="1" customWidth="1"/>
    <col min="6" max="16384" width="11.453125" style="1"/>
  </cols>
  <sheetData>
    <row r="2" spans="2:8" ht="18" x14ac:dyDescent="0.4">
      <c r="B2" s="100" t="s">
        <v>57</v>
      </c>
    </row>
    <row r="3" spans="2:8" ht="3" customHeight="1" x14ac:dyDescent="0.3"/>
    <row r="4" spans="2:8" ht="14.5" thickBot="1" x14ac:dyDescent="0.35">
      <c r="B4" s="104" t="s">
        <v>60</v>
      </c>
      <c r="C4" s="104" t="s">
        <v>58</v>
      </c>
      <c r="D4" s="96" t="s">
        <v>59</v>
      </c>
      <c r="E4" s="105" t="s">
        <v>13</v>
      </c>
      <c r="F4" s="103"/>
      <c r="G4" s="103"/>
      <c r="H4" s="101"/>
    </row>
    <row r="5" spans="2:8" ht="15" thickTop="1" thickBot="1" x14ac:dyDescent="0.35">
      <c r="B5" s="106" t="s">
        <v>0</v>
      </c>
      <c r="C5" s="107">
        <v>45889</v>
      </c>
      <c r="D5" s="98" t="s">
        <v>84</v>
      </c>
      <c r="E5" s="108" t="s">
        <v>61</v>
      </c>
    </row>
    <row r="6" spans="2:8" ht="15" thickTop="1" thickBot="1" x14ac:dyDescent="0.35">
      <c r="B6" s="106" t="s">
        <v>1008</v>
      </c>
      <c r="C6" s="107">
        <v>45918</v>
      </c>
      <c r="D6" s="98" t="s">
        <v>84</v>
      </c>
      <c r="E6" s="108" t="s">
        <v>1093</v>
      </c>
    </row>
    <row r="7" spans="2:8" ht="15" thickTop="1" thickBot="1" x14ac:dyDescent="0.35">
      <c r="B7" s="106" t="s">
        <v>1102</v>
      </c>
      <c r="C7" s="107">
        <v>45965</v>
      </c>
      <c r="D7" s="98" t="s">
        <v>84</v>
      </c>
      <c r="E7" s="108" t="s">
        <v>1103</v>
      </c>
    </row>
    <row r="8" spans="2:8" ht="15" thickTop="1" thickBot="1" x14ac:dyDescent="0.35">
      <c r="B8" s="106" t="s">
        <v>1114</v>
      </c>
      <c r="C8" s="107">
        <v>45996</v>
      </c>
      <c r="D8" s="98" t="s">
        <v>84</v>
      </c>
      <c r="E8" s="108" t="s">
        <v>1113</v>
      </c>
    </row>
    <row r="9" spans="2:8" ht="14.5" thickTop="1" x14ac:dyDescent="0.3"/>
  </sheetData>
  <phoneticPr fontId="33" type="noConversion"/>
  <pageMargins left="0.7" right="0.7" top="0.78740157499999996" bottom="0.78740157499999996" header="0.3" footer="0.3"/>
  <pageSetup paperSize="9" orientation="portrait" horizontalDpi="1200" verticalDpi="120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2"/>
  </sheetPr>
  <dimension ref="A2:X38"/>
  <sheetViews>
    <sheetView showGridLines="0" topLeftCell="F25" zoomScale="85" zoomScaleNormal="85" workbookViewId="0">
      <selection activeCell="O7" sqref="O7"/>
    </sheetView>
  </sheetViews>
  <sheetFormatPr baseColWidth="10" defaultColWidth="11.453125" defaultRowHeight="14" x14ac:dyDescent="0.3"/>
  <cols>
    <col min="1" max="1" width="3.26953125" style="3" customWidth="1"/>
    <col min="2" max="2" width="11.453125" style="3"/>
    <col min="3" max="3" width="52.1796875" style="3" customWidth="1"/>
    <col min="4" max="6" width="27.26953125" style="3" customWidth="1"/>
    <col min="7" max="7" width="31.81640625" style="3" customWidth="1"/>
    <col min="8" max="8" width="4.453125" style="3" customWidth="1"/>
    <col min="9" max="12" width="11.453125" style="3"/>
    <col min="13" max="13" width="12.26953125" style="3" bestFit="1" customWidth="1"/>
    <col min="14" max="14" width="54.1796875" style="3" bestFit="1" customWidth="1"/>
    <col min="15" max="15" width="13.453125" style="3" bestFit="1" customWidth="1"/>
    <col min="16" max="16" width="14.54296875" style="3" bestFit="1" customWidth="1"/>
    <col min="17" max="17" width="22.81640625" style="3" bestFit="1" customWidth="1"/>
    <col min="18" max="18" width="15" style="3" bestFit="1" customWidth="1"/>
    <col min="19" max="19" width="14.54296875" style="3" bestFit="1" customWidth="1"/>
    <col min="20" max="20" width="10.54296875" style="3" customWidth="1"/>
    <col min="21" max="21" width="19.54296875" style="3" bestFit="1" customWidth="1"/>
    <col min="22" max="22" width="16.453125" style="3" bestFit="1" customWidth="1"/>
    <col min="23" max="23" width="17.81640625" style="3" bestFit="1" customWidth="1"/>
    <col min="24" max="24" width="18.26953125" style="3" bestFit="1" customWidth="1"/>
    <col min="25" max="16384" width="11.453125" style="3"/>
  </cols>
  <sheetData>
    <row r="2" spans="2:24" ht="37.5" customHeight="1" x14ac:dyDescent="0.3">
      <c r="B2" s="167" t="s">
        <v>40</v>
      </c>
      <c r="C2" s="167" t="s">
        <v>195</v>
      </c>
      <c r="D2" s="168" t="s">
        <v>80</v>
      </c>
      <c r="E2" s="168" t="s">
        <v>77</v>
      </c>
      <c r="F2" s="169" t="str">
        <f>Dashboard!G20</f>
        <v>Quantitativ gemanagt</v>
      </c>
      <c r="G2" s="166" t="s">
        <v>79</v>
      </c>
      <c r="H2" s="160"/>
      <c r="I2" s="418" t="s">
        <v>41</v>
      </c>
      <c r="J2" s="419"/>
      <c r="K2" s="420"/>
      <c r="M2" s="421" t="s">
        <v>126</v>
      </c>
      <c r="N2" s="422"/>
      <c r="O2" s="422"/>
      <c r="P2" s="422"/>
      <c r="Q2" s="422"/>
      <c r="R2" s="422"/>
      <c r="S2" s="422"/>
      <c r="T2" s="422"/>
      <c r="U2" s="422"/>
      <c r="V2" s="422"/>
      <c r="W2" s="422"/>
      <c r="X2" s="422"/>
    </row>
    <row r="3" spans="2:24" x14ac:dyDescent="0.3">
      <c r="B3" s="172" t="s">
        <v>86</v>
      </c>
      <c r="C3" s="183" t="s">
        <v>193</v>
      </c>
      <c r="D3" s="171">
        <f>'TD1.1'!L6</f>
        <v>0</v>
      </c>
      <c r="E3" s="170">
        <f>F3*1</f>
        <v>4</v>
      </c>
      <c r="F3" s="170">
        <f>_xlfn.XLOOKUP($F$2,$O$3:$W$3,O5:W5)</f>
        <v>4</v>
      </c>
      <c r="G3" s="165"/>
      <c r="H3" s="102"/>
      <c r="I3" s="173" t="s">
        <v>42</v>
      </c>
      <c r="J3" s="117"/>
      <c r="K3" s="174"/>
      <c r="L3" s="184"/>
      <c r="M3" s="192" t="s">
        <v>40</v>
      </c>
      <c r="N3" s="195" t="s">
        <v>195</v>
      </c>
      <c r="O3" s="196" t="s">
        <v>194</v>
      </c>
      <c r="P3" s="196" t="s">
        <v>869</v>
      </c>
      <c r="Q3" s="196" t="s">
        <v>875</v>
      </c>
      <c r="R3" s="196" t="s">
        <v>867</v>
      </c>
      <c r="S3" s="196" t="s">
        <v>868</v>
      </c>
      <c r="T3" s="196" t="s">
        <v>127</v>
      </c>
      <c r="U3" s="196" t="s">
        <v>128</v>
      </c>
      <c r="V3" s="196" t="s">
        <v>129</v>
      </c>
      <c r="W3" s="196" t="s">
        <v>130</v>
      </c>
      <c r="X3" s="196" t="s">
        <v>131</v>
      </c>
    </row>
    <row r="4" spans="2:24" x14ac:dyDescent="0.3">
      <c r="B4" s="172" t="s">
        <v>87</v>
      </c>
      <c r="C4" s="183" t="s">
        <v>88</v>
      </c>
      <c r="D4" s="171">
        <f>'TD1.2'!L6</f>
        <v>0</v>
      </c>
      <c r="E4" s="170">
        <f t="shared" ref="E4:E35" si="0">F4*1</f>
        <v>4</v>
      </c>
      <c r="F4" s="170">
        <f t="shared" ref="F4:F26" si="1">_xlfn.XLOOKUP($F$2,$O$3:$W$3,O6:W6)</f>
        <v>4</v>
      </c>
      <c r="G4" s="165"/>
      <c r="H4" s="102"/>
      <c r="I4" s="175" t="s">
        <v>5</v>
      </c>
      <c r="J4" s="2"/>
      <c r="K4" s="176"/>
      <c r="L4" s="184"/>
      <c r="M4" s="192"/>
      <c r="N4" s="195"/>
      <c r="O4" s="193"/>
      <c r="P4" s="192"/>
      <c r="Q4" s="193"/>
      <c r="R4" s="193"/>
      <c r="S4" s="193"/>
      <c r="T4" s="193"/>
      <c r="U4" s="193"/>
      <c r="V4" s="193"/>
      <c r="W4" s="193"/>
      <c r="X4" s="193"/>
    </row>
    <row r="5" spans="2:24" x14ac:dyDescent="0.3">
      <c r="B5" s="172" t="s">
        <v>89</v>
      </c>
      <c r="C5" s="183" t="s">
        <v>90</v>
      </c>
      <c r="D5" s="171">
        <f>'TD1.3'!L6</f>
        <v>0</v>
      </c>
      <c r="E5" s="170">
        <f t="shared" si="0"/>
        <v>4</v>
      </c>
      <c r="F5" s="170">
        <f t="shared" si="1"/>
        <v>4</v>
      </c>
      <c r="G5" s="165"/>
      <c r="H5" s="102"/>
      <c r="I5" s="175" t="s">
        <v>6</v>
      </c>
      <c r="J5" s="2"/>
      <c r="K5" s="176"/>
      <c r="L5" s="184"/>
      <c r="M5" s="194" t="str" cm="1">
        <f t="array" ref="M5:N37">B3:C35</f>
        <v>TD1.1</v>
      </c>
      <c r="N5" s="198" t="str">
        <v>Prozessinitierung</v>
      </c>
      <c r="O5" s="197"/>
      <c r="P5" s="192">
        <v>5</v>
      </c>
      <c r="Q5" s="193">
        <v>4</v>
      </c>
      <c r="R5" s="193">
        <v>3</v>
      </c>
      <c r="S5" s="193">
        <v>2</v>
      </c>
      <c r="T5" s="193">
        <v>1</v>
      </c>
      <c r="U5" s="193"/>
      <c r="V5" s="193"/>
      <c r="W5" s="193"/>
      <c r="X5" s="193"/>
    </row>
    <row r="6" spans="2:24" x14ac:dyDescent="0.3">
      <c r="B6" s="172" t="s">
        <v>91</v>
      </c>
      <c r="C6" s="183" t="s">
        <v>92</v>
      </c>
      <c r="D6" s="171">
        <f>'TD1.4'!L6</f>
        <v>0</v>
      </c>
      <c r="E6" s="170">
        <f t="shared" si="0"/>
        <v>4</v>
      </c>
      <c r="F6" s="170">
        <f t="shared" si="1"/>
        <v>4</v>
      </c>
      <c r="G6" s="165"/>
      <c r="H6" s="102"/>
      <c r="I6" s="175" t="s">
        <v>7</v>
      </c>
      <c r="J6" s="2"/>
      <c r="K6" s="176"/>
      <c r="L6" s="184"/>
      <c r="M6" s="194" t="str">
        <v>TD1.2</v>
      </c>
      <c r="N6" s="198" t="str">
        <v>Informationsbeschaffung</v>
      </c>
      <c r="O6" s="197">
        <v>4</v>
      </c>
      <c r="P6" s="192">
        <v>5</v>
      </c>
      <c r="Q6" s="193">
        <v>4</v>
      </c>
      <c r="R6" s="193">
        <v>3</v>
      </c>
      <c r="S6" s="193">
        <v>2</v>
      </c>
      <c r="T6" s="193">
        <v>1</v>
      </c>
      <c r="U6" s="193"/>
      <c r="V6" s="193"/>
      <c r="W6" s="193"/>
      <c r="X6" s="193"/>
    </row>
    <row r="7" spans="2:24" x14ac:dyDescent="0.3">
      <c r="B7" s="172" t="s">
        <v>93</v>
      </c>
      <c r="C7" s="183" t="s">
        <v>95</v>
      </c>
      <c r="D7" s="171">
        <f>'TD1.5'!L6</f>
        <v>0</v>
      </c>
      <c r="E7" s="170">
        <f t="shared" si="0"/>
        <v>4</v>
      </c>
      <c r="F7" s="170">
        <f t="shared" si="1"/>
        <v>4</v>
      </c>
      <c r="G7" s="165"/>
      <c r="H7" s="102"/>
      <c r="I7" s="175" t="s">
        <v>8</v>
      </c>
      <c r="J7" s="2"/>
      <c r="K7" s="176"/>
      <c r="M7" s="194" t="str">
        <v>TD1.3</v>
      </c>
      <c r="N7" s="198" t="str">
        <v>Interne Zusammenarbeit</v>
      </c>
      <c r="O7" s="197"/>
      <c r="P7" s="192">
        <v>5</v>
      </c>
      <c r="Q7" s="193">
        <v>4</v>
      </c>
      <c r="R7" s="193">
        <v>3</v>
      </c>
      <c r="S7" s="193">
        <v>2</v>
      </c>
      <c r="T7" s="193">
        <v>1</v>
      </c>
      <c r="U7" s="193"/>
      <c r="V7" s="193"/>
      <c r="W7" s="193"/>
      <c r="X7" s="193"/>
    </row>
    <row r="8" spans="2:24" ht="14.5" x14ac:dyDescent="0.35">
      <c r="B8" s="172" t="s">
        <v>94</v>
      </c>
      <c r="C8" s="183" t="s">
        <v>96</v>
      </c>
      <c r="D8" s="171">
        <f>'TD1.6'!L6</f>
        <v>0</v>
      </c>
      <c r="E8" s="170">
        <f t="shared" si="0"/>
        <v>4</v>
      </c>
      <c r="F8" s="170">
        <f t="shared" si="1"/>
        <v>4</v>
      </c>
      <c r="G8" s="165"/>
      <c r="H8" s="102"/>
      <c r="I8" s="177" t="s">
        <v>43</v>
      </c>
      <c r="J8" s="178"/>
      <c r="K8" s="179"/>
      <c r="M8" s="194" t="str">
        <v>TD1.4</v>
      </c>
      <c r="N8" s="198" t="str">
        <v>Externe Zusammenarbeit</v>
      </c>
      <c r="O8" s="197"/>
      <c r="P8" s="192">
        <v>5</v>
      </c>
      <c r="Q8" s="193">
        <v>4</v>
      </c>
      <c r="R8" s="193">
        <v>3</v>
      </c>
      <c r="S8" s="193">
        <v>2</v>
      </c>
      <c r="T8" s="193">
        <v>1</v>
      </c>
      <c r="U8" s="193"/>
      <c r="V8" s="193"/>
      <c r="W8" s="193"/>
      <c r="X8" s="193"/>
    </row>
    <row r="9" spans="2:24" x14ac:dyDescent="0.3">
      <c r="B9" s="172" t="s">
        <v>97</v>
      </c>
      <c r="C9" s="183" t="s">
        <v>98</v>
      </c>
      <c r="D9" s="171">
        <f>'TD2.1'!L6</f>
        <v>0</v>
      </c>
      <c r="E9" s="170">
        <f t="shared" si="0"/>
        <v>4</v>
      </c>
      <c r="F9" s="170">
        <f t="shared" si="1"/>
        <v>4</v>
      </c>
      <c r="G9" s="165"/>
      <c r="H9" s="102"/>
      <c r="M9" s="194" t="str">
        <v>TD1.5</v>
      </c>
      <c r="N9" s="198" t="str">
        <v>Rechtskonformität</v>
      </c>
      <c r="O9" s="197"/>
      <c r="P9" s="192">
        <v>5</v>
      </c>
      <c r="Q9" s="193">
        <v>4</v>
      </c>
      <c r="R9" s="193">
        <v>3</v>
      </c>
      <c r="S9" s="193">
        <v>2</v>
      </c>
      <c r="T9" s="193">
        <v>1</v>
      </c>
      <c r="U9" s="193"/>
      <c r="V9" s="193"/>
      <c r="W9" s="193"/>
      <c r="X9" s="193"/>
    </row>
    <row r="10" spans="2:24" x14ac:dyDescent="0.3">
      <c r="B10" s="172" t="s">
        <v>99</v>
      </c>
      <c r="C10" s="183" t="s">
        <v>100</v>
      </c>
      <c r="D10" s="171">
        <f>'TD2.2'!L6</f>
        <v>0</v>
      </c>
      <c r="E10" s="170">
        <f t="shared" si="0"/>
        <v>4</v>
      </c>
      <c r="F10" s="170">
        <f t="shared" si="1"/>
        <v>4</v>
      </c>
      <c r="G10" s="165"/>
      <c r="H10" s="102"/>
      <c r="M10" s="194" t="str">
        <v>TD1.6</v>
      </c>
      <c r="N10" s="198" t="str">
        <v>Qualitätssicherung</v>
      </c>
      <c r="O10" s="197"/>
      <c r="P10" s="192">
        <v>5</v>
      </c>
      <c r="Q10" s="193">
        <v>4</v>
      </c>
      <c r="R10" s="193">
        <v>3</v>
      </c>
      <c r="S10" s="193">
        <v>2</v>
      </c>
      <c r="T10" s="193">
        <v>1</v>
      </c>
      <c r="U10" s="193"/>
      <c r="V10" s="193"/>
      <c r="W10" s="193"/>
      <c r="X10" s="193"/>
    </row>
    <row r="11" spans="2:24" x14ac:dyDescent="0.3">
      <c r="B11" s="172" t="s">
        <v>101</v>
      </c>
      <c r="C11" s="183" t="s">
        <v>102</v>
      </c>
      <c r="D11" s="171">
        <f>'TD2.3'!L6</f>
        <v>0</v>
      </c>
      <c r="E11" s="170">
        <f t="shared" si="0"/>
        <v>4</v>
      </c>
      <c r="F11" s="170">
        <f t="shared" si="1"/>
        <v>4</v>
      </c>
      <c r="G11" s="165"/>
      <c r="H11" s="102"/>
      <c r="M11" s="194" t="str">
        <v>TD2.1</v>
      </c>
      <c r="N11" s="198" t="str">
        <v>Dokumentationsstrukturierung</v>
      </c>
      <c r="O11" s="197"/>
      <c r="P11" s="192">
        <v>5</v>
      </c>
      <c r="Q11" s="193">
        <v>4</v>
      </c>
      <c r="R11" s="193">
        <v>3</v>
      </c>
      <c r="S11" s="193">
        <v>2</v>
      </c>
      <c r="T11" s="193">
        <v>1</v>
      </c>
      <c r="U11" s="193"/>
      <c r="V11" s="193"/>
      <c r="W11" s="193"/>
      <c r="X11" s="193"/>
    </row>
    <row r="12" spans="2:24" x14ac:dyDescent="0.3">
      <c r="B12" s="172" t="s">
        <v>103</v>
      </c>
      <c r="C12" s="183" t="s">
        <v>104</v>
      </c>
      <c r="D12" s="171">
        <f>'TD2.4'!L6</f>
        <v>0</v>
      </c>
      <c r="E12" s="170">
        <f t="shared" si="0"/>
        <v>4</v>
      </c>
      <c r="F12" s="170">
        <f t="shared" si="1"/>
        <v>4</v>
      </c>
      <c r="G12" s="165"/>
      <c r="H12" s="102"/>
      <c r="M12" s="194" t="str">
        <v>TD2.2</v>
      </c>
      <c r="N12" s="198" t="str">
        <v>Variantenmanagement</v>
      </c>
      <c r="O12" s="197"/>
      <c r="P12" s="192">
        <v>5</v>
      </c>
      <c r="Q12" s="193">
        <v>4</v>
      </c>
      <c r="R12" s="193">
        <v>3</v>
      </c>
      <c r="S12" s="193">
        <v>2</v>
      </c>
      <c r="T12" s="193">
        <v>1</v>
      </c>
      <c r="U12" s="193"/>
      <c r="V12" s="193"/>
      <c r="W12" s="193"/>
      <c r="X12" s="193"/>
    </row>
    <row r="13" spans="2:24" x14ac:dyDescent="0.3">
      <c r="B13" s="172" t="s">
        <v>105</v>
      </c>
      <c r="C13" s="183" t="s">
        <v>106</v>
      </c>
      <c r="D13" s="171">
        <f>'TD2.5'!L6</f>
        <v>0</v>
      </c>
      <c r="E13" s="170">
        <f t="shared" si="0"/>
        <v>4</v>
      </c>
      <c r="F13" s="170">
        <f t="shared" si="1"/>
        <v>4</v>
      </c>
      <c r="G13" s="165"/>
      <c r="H13" s="102"/>
      <c r="M13" s="194" t="str">
        <v>TD2.3</v>
      </c>
      <c r="N13" s="198" t="str">
        <v>Metadatenmanagement</v>
      </c>
      <c r="O13" s="197"/>
      <c r="P13" s="192">
        <v>5</v>
      </c>
      <c r="Q13" s="193">
        <v>4</v>
      </c>
      <c r="R13" s="193">
        <v>3</v>
      </c>
      <c r="S13" s="193">
        <v>2</v>
      </c>
      <c r="T13" s="193">
        <v>1</v>
      </c>
      <c r="U13" s="193"/>
      <c r="V13" s="193"/>
      <c r="W13" s="193"/>
      <c r="X13" s="193"/>
    </row>
    <row r="14" spans="2:24" x14ac:dyDescent="0.3">
      <c r="B14" s="172" t="s">
        <v>107</v>
      </c>
      <c r="C14" s="183" t="s">
        <v>143</v>
      </c>
      <c r="D14" s="171">
        <f>'TD2.6'!L6</f>
        <v>0</v>
      </c>
      <c r="E14" s="170">
        <f t="shared" si="0"/>
        <v>4</v>
      </c>
      <c r="F14" s="170">
        <f t="shared" si="1"/>
        <v>4</v>
      </c>
      <c r="G14" s="165"/>
      <c r="H14" s="102"/>
      <c r="M14" s="194" t="str">
        <v>TD2.4</v>
      </c>
      <c r="N14" s="198" t="str">
        <v>Terminologiemanagement</v>
      </c>
      <c r="O14" s="197"/>
      <c r="P14" s="192">
        <v>5</v>
      </c>
      <c r="Q14" s="193">
        <v>4</v>
      </c>
      <c r="R14" s="193">
        <v>3</v>
      </c>
      <c r="S14" s="193">
        <v>2</v>
      </c>
      <c r="T14" s="193">
        <v>1</v>
      </c>
      <c r="U14" s="193"/>
      <c r="V14" s="193"/>
      <c r="W14" s="193"/>
      <c r="X14" s="193"/>
    </row>
    <row r="15" spans="2:24" x14ac:dyDescent="0.3">
      <c r="B15" s="172" t="s">
        <v>109</v>
      </c>
      <c r="C15" s="183" t="s">
        <v>108</v>
      </c>
      <c r="D15" s="171">
        <f>'TD2.7'!L6</f>
        <v>0</v>
      </c>
      <c r="E15" s="170">
        <f t="shared" si="0"/>
        <v>4</v>
      </c>
      <c r="F15" s="170">
        <f t="shared" si="1"/>
        <v>4</v>
      </c>
      <c r="G15" s="165"/>
      <c r="H15" s="102"/>
      <c r="M15" s="194" t="str">
        <v>TD2.5</v>
      </c>
      <c r="N15" s="198" t="str">
        <v>Übersetzungsmanagement</v>
      </c>
      <c r="O15" s="197"/>
      <c r="P15" s="192">
        <v>5</v>
      </c>
      <c r="Q15" s="193">
        <v>4</v>
      </c>
      <c r="R15" s="193">
        <v>3</v>
      </c>
      <c r="S15" s="193">
        <v>2</v>
      </c>
      <c r="T15" s="193">
        <v>1</v>
      </c>
      <c r="U15" s="193"/>
      <c r="V15" s="193"/>
      <c r="W15" s="193"/>
      <c r="X15" s="193"/>
    </row>
    <row r="16" spans="2:24" x14ac:dyDescent="0.3">
      <c r="B16" s="172" t="s">
        <v>148</v>
      </c>
      <c r="C16" s="183" t="s">
        <v>110</v>
      </c>
      <c r="D16" s="171">
        <f>'TD2.8'!L6</f>
        <v>0</v>
      </c>
      <c r="E16" s="170">
        <f t="shared" si="0"/>
        <v>4</v>
      </c>
      <c r="F16" s="170">
        <f t="shared" si="1"/>
        <v>4</v>
      </c>
      <c r="G16" s="165"/>
      <c r="H16" s="102"/>
      <c r="M16" s="194" t="str">
        <v>TD2.6</v>
      </c>
      <c r="N16" s="198" t="str">
        <v>Aktualität</v>
      </c>
      <c r="O16" s="197"/>
      <c r="P16" s="192">
        <v>5</v>
      </c>
      <c r="Q16" s="193">
        <v>4</v>
      </c>
      <c r="R16" s="193">
        <v>3</v>
      </c>
      <c r="S16" s="193">
        <v>2</v>
      </c>
      <c r="T16" s="193">
        <v>1</v>
      </c>
      <c r="U16" s="193"/>
      <c r="V16" s="193"/>
      <c r="W16" s="193"/>
      <c r="X16" s="193"/>
    </row>
    <row r="17" spans="1:24" x14ac:dyDescent="0.3">
      <c r="B17" s="172" t="s">
        <v>111</v>
      </c>
      <c r="C17" s="183" t="s">
        <v>112</v>
      </c>
      <c r="D17" s="171">
        <f>'TD3.1'!L6</f>
        <v>0</v>
      </c>
      <c r="E17" s="170">
        <f>F17*1</f>
        <v>4</v>
      </c>
      <c r="F17" s="170">
        <f t="shared" si="1"/>
        <v>4</v>
      </c>
      <c r="M17" s="194" t="str">
        <v>TD2.7</v>
      </c>
      <c r="N17" s="198" t="str">
        <v>Versionierung</v>
      </c>
      <c r="O17" s="197"/>
      <c r="P17" s="192">
        <v>5</v>
      </c>
      <c r="Q17" s="193">
        <v>4</v>
      </c>
      <c r="R17" s="193">
        <v>3</v>
      </c>
      <c r="S17" s="193">
        <v>2</v>
      </c>
      <c r="T17" s="193">
        <v>1</v>
      </c>
      <c r="U17" s="193"/>
      <c r="V17" s="193"/>
      <c r="W17" s="193"/>
      <c r="X17" s="193"/>
    </row>
    <row r="18" spans="1:24" x14ac:dyDescent="0.3">
      <c r="B18" s="172" t="s">
        <v>113</v>
      </c>
      <c r="C18" s="183" t="s">
        <v>114</v>
      </c>
      <c r="D18" s="171">
        <f>'TD3.2'!L6</f>
        <v>0</v>
      </c>
      <c r="E18" s="170">
        <f t="shared" si="0"/>
        <v>4</v>
      </c>
      <c r="F18" s="170">
        <f t="shared" si="1"/>
        <v>4</v>
      </c>
      <c r="M18" s="194" t="str">
        <v>TD2.8</v>
      </c>
      <c r="N18" s="198" t="str">
        <v>Ablage und Archivierung</v>
      </c>
      <c r="O18" s="197"/>
      <c r="P18" s="192">
        <v>5</v>
      </c>
      <c r="Q18" s="193">
        <v>4</v>
      </c>
      <c r="R18" s="193">
        <v>3</v>
      </c>
      <c r="S18" s="193">
        <v>2</v>
      </c>
      <c r="T18" s="193">
        <v>1</v>
      </c>
      <c r="U18" s="193"/>
      <c r="V18" s="193"/>
      <c r="W18" s="193"/>
      <c r="X18" s="193"/>
    </row>
    <row r="19" spans="1:24" x14ac:dyDescent="0.3">
      <c r="B19" s="172" t="s">
        <v>115</v>
      </c>
      <c r="C19" s="183" t="s">
        <v>144</v>
      </c>
      <c r="D19" s="171">
        <f>'TD3.3'!L6</f>
        <v>0</v>
      </c>
      <c r="E19" s="170">
        <f t="shared" si="0"/>
        <v>4</v>
      </c>
      <c r="F19" s="170">
        <f t="shared" si="1"/>
        <v>4</v>
      </c>
      <c r="M19" s="194" t="str">
        <v>TD3.1</v>
      </c>
      <c r="N19" s="198" t="str">
        <v>Publikation und Verwaltung</v>
      </c>
      <c r="O19" s="197"/>
      <c r="P19" s="192">
        <v>5</v>
      </c>
      <c r="Q19" s="193">
        <v>4</v>
      </c>
      <c r="R19" s="193">
        <v>3</v>
      </c>
      <c r="S19" s="193">
        <v>2</v>
      </c>
      <c r="T19" s="193">
        <v>1</v>
      </c>
      <c r="U19" s="193"/>
      <c r="V19" s="193"/>
      <c r="W19" s="193"/>
      <c r="X19" s="193"/>
    </row>
    <row r="20" spans="1:24" x14ac:dyDescent="0.3">
      <c r="B20" s="172" t="s">
        <v>116</v>
      </c>
      <c r="C20" s="183" t="s">
        <v>518</v>
      </c>
      <c r="D20" s="171">
        <f>'TD3.4'!L6</f>
        <v>0</v>
      </c>
      <c r="E20" s="170">
        <f t="shared" si="0"/>
        <v>4</v>
      </c>
      <c r="F20" s="170">
        <f t="shared" si="1"/>
        <v>4</v>
      </c>
      <c r="M20" s="194" t="str">
        <v>TD3.2</v>
      </c>
      <c r="N20" s="198" t="str">
        <v>Zugriffsmanagement</v>
      </c>
      <c r="O20" s="197"/>
      <c r="P20" s="192">
        <v>5</v>
      </c>
      <c r="Q20" s="193">
        <v>4</v>
      </c>
      <c r="R20" s="193">
        <v>3</v>
      </c>
      <c r="S20" s="193">
        <v>2</v>
      </c>
      <c r="T20" s="193">
        <v>1</v>
      </c>
      <c r="U20" s="193"/>
      <c r="V20" s="193"/>
      <c r="W20" s="193"/>
      <c r="X20" s="193"/>
    </row>
    <row r="21" spans="1:24" x14ac:dyDescent="0.3">
      <c r="B21" s="172" t="s">
        <v>117</v>
      </c>
      <c r="C21" s="183" t="s">
        <v>118</v>
      </c>
      <c r="D21" s="171">
        <f>'TD4.1'!L6</f>
        <v>0</v>
      </c>
      <c r="E21" s="170">
        <f t="shared" si="0"/>
        <v>4</v>
      </c>
      <c r="F21" s="170">
        <f t="shared" si="1"/>
        <v>4</v>
      </c>
      <c r="M21" s="194" t="str">
        <v>TD3.3</v>
      </c>
      <c r="N21" s="198" t="str">
        <v>Zugänglichkeit der Dokumentation</v>
      </c>
      <c r="O21" s="197"/>
      <c r="P21" s="192">
        <v>5</v>
      </c>
      <c r="Q21" s="193">
        <v>4</v>
      </c>
      <c r="R21" s="193">
        <v>3</v>
      </c>
      <c r="S21" s="193">
        <v>2</v>
      </c>
      <c r="T21" s="193">
        <v>1</v>
      </c>
      <c r="U21" s="193"/>
      <c r="V21" s="193"/>
      <c r="W21" s="193"/>
      <c r="X21" s="193"/>
    </row>
    <row r="22" spans="1:24" x14ac:dyDescent="0.3">
      <c r="B22" s="172" t="s">
        <v>119</v>
      </c>
      <c r="C22" s="183" t="s">
        <v>120</v>
      </c>
      <c r="D22" s="171">
        <f>'TD4.2'!L6</f>
        <v>0</v>
      </c>
      <c r="E22" s="170">
        <f t="shared" si="0"/>
        <v>4</v>
      </c>
      <c r="F22" s="170">
        <f t="shared" si="1"/>
        <v>4</v>
      </c>
      <c r="G22" s="159"/>
      <c r="M22" s="194" t="str">
        <v>TD3.4</v>
      </c>
      <c r="N22" s="198" t="str">
        <v>Kanäle und Plattformen</v>
      </c>
      <c r="O22" s="197"/>
      <c r="P22" s="192">
        <v>5</v>
      </c>
      <c r="Q22" s="193">
        <v>4</v>
      </c>
      <c r="R22" s="193">
        <v>3</v>
      </c>
      <c r="S22" s="193">
        <v>2</v>
      </c>
      <c r="T22" s="193">
        <v>1</v>
      </c>
      <c r="U22" s="193"/>
      <c r="V22" s="193"/>
      <c r="W22" s="193"/>
      <c r="X22" s="193"/>
    </row>
    <row r="23" spans="1:24" x14ac:dyDescent="0.3">
      <c r="B23" s="172" t="s">
        <v>121</v>
      </c>
      <c r="C23" s="183" t="s">
        <v>569</v>
      </c>
      <c r="D23" s="171">
        <f>'TD4.3'!L6</f>
        <v>0</v>
      </c>
      <c r="E23" s="170">
        <f t="shared" si="0"/>
        <v>4</v>
      </c>
      <c r="F23" s="170">
        <f t="shared" si="1"/>
        <v>4</v>
      </c>
      <c r="G23" s="160"/>
      <c r="H23" s="159"/>
      <c r="M23" s="194" t="str">
        <v>TD4.1</v>
      </c>
      <c r="N23" s="198" t="str">
        <v>Zielgruppenkenntnis</v>
      </c>
      <c r="O23" s="197"/>
      <c r="P23" s="192">
        <v>5</v>
      </c>
      <c r="Q23" s="193">
        <v>4</v>
      </c>
      <c r="R23" s="193">
        <v>3</v>
      </c>
      <c r="S23" s="193">
        <v>2</v>
      </c>
      <c r="T23" s="193">
        <v>1</v>
      </c>
      <c r="U23" s="193"/>
      <c r="V23" s="193"/>
      <c r="W23" s="193"/>
      <c r="X23" s="193"/>
    </row>
    <row r="24" spans="1:24" x14ac:dyDescent="0.3">
      <c r="B24" s="172" t="s">
        <v>122</v>
      </c>
      <c r="C24" s="183" t="s">
        <v>123</v>
      </c>
      <c r="D24" s="171">
        <f>'TD4.4'!L6</f>
        <v>0</v>
      </c>
      <c r="E24" s="170">
        <f t="shared" si="0"/>
        <v>4</v>
      </c>
      <c r="F24" s="170">
        <f t="shared" si="1"/>
        <v>4</v>
      </c>
      <c r="G24" s="102"/>
      <c r="H24" s="102"/>
      <c r="M24" s="194" t="str">
        <v>TD4.2</v>
      </c>
      <c r="N24" s="198" t="str">
        <v>Nutzerzentrierung</v>
      </c>
      <c r="O24" s="197"/>
      <c r="P24" s="192">
        <v>5</v>
      </c>
      <c r="Q24" s="193">
        <v>4</v>
      </c>
      <c r="R24" s="193">
        <v>3</v>
      </c>
      <c r="S24" s="193">
        <v>2</v>
      </c>
      <c r="T24" s="193">
        <v>1</v>
      </c>
      <c r="U24" s="193"/>
      <c r="V24" s="193"/>
      <c r="W24" s="193"/>
      <c r="X24" s="193"/>
    </row>
    <row r="25" spans="1:24" x14ac:dyDescent="0.3">
      <c r="A25" s="102"/>
      <c r="B25" s="172" t="s">
        <v>132</v>
      </c>
      <c r="C25" s="183" t="s">
        <v>124</v>
      </c>
      <c r="D25" s="171">
        <f>'OG1.1'!L6</f>
        <v>0</v>
      </c>
      <c r="E25" s="170">
        <f t="shared" si="0"/>
        <v>4</v>
      </c>
      <c r="F25" s="170">
        <f t="shared" si="1"/>
        <v>4</v>
      </c>
      <c r="M25" s="194" t="str">
        <v>TD4.3</v>
      </c>
      <c r="N25" s="198" t="str">
        <v>Nutzerfreundlichkeit (Usability /Operability)</v>
      </c>
      <c r="O25" s="197"/>
      <c r="P25" s="192">
        <v>5</v>
      </c>
      <c r="Q25" s="193">
        <v>4</v>
      </c>
      <c r="R25" s="193">
        <v>3</v>
      </c>
      <c r="S25" s="193">
        <v>2</v>
      </c>
      <c r="T25" s="193">
        <v>1</v>
      </c>
      <c r="U25" s="193"/>
      <c r="V25" s="193"/>
      <c r="W25" s="193"/>
      <c r="X25" s="193"/>
    </row>
    <row r="26" spans="1:24" x14ac:dyDescent="0.3">
      <c r="A26" s="102"/>
      <c r="B26" s="172" t="s">
        <v>133</v>
      </c>
      <c r="C26" s="183" t="s">
        <v>125</v>
      </c>
      <c r="D26" s="171">
        <f>'OG1.2'!L6</f>
        <v>0</v>
      </c>
      <c r="E26" s="170">
        <f t="shared" si="0"/>
        <v>4</v>
      </c>
      <c r="F26" s="170">
        <f t="shared" si="1"/>
        <v>4</v>
      </c>
      <c r="M26" s="194" t="str">
        <v>TD4.4</v>
      </c>
      <c r="N26" s="198" t="str">
        <v>Feedbackintegration</v>
      </c>
      <c r="O26" s="197"/>
      <c r="P26" s="192">
        <v>5</v>
      </c>
      <c r="Q26" s="193">
        <v>4</v>
      </c>
      <c r="R26" s="193">
        <v>3</v>
      </c>
      <c r="S26" s="193">
        <v>2</v>
      </c>
      <c r="T26" s="193">
        <v>1</v>
      </c>
      <c r="U26" s="193"/>
      <c r="V26" s="193"/>
      <c r="W26" s="193"/>
      <c r="X26" s="193"/>
    </row>
    <row r="27" spans="1:24" x14ac:dyDescent="0.3">
      <c r="A27" s="102"/>
      <c r="B27" s="172" t="s">
        <v>134</v>
      </c>
      <c r="C27" s="183" t="s">
        <v>138</v>
      </c>
      <c r="D27" s="171">
        <f>'OG2.1'!L6</f>
        <v>0</v>
      </c>
      <c r="E27" s="170">
        <f t="shared" si="0"/>
        <v>4</v>
      </c>
      <c r="F27" s="170">
        <f t="shared" ref="F27:F35" si="2">_xlfn.XLOOKUP($F$2,$O$3:$W$3,O29:W29)</f>
        <v>4</v>
      </c>
      <c r="M27" s="194" t="str">
        <v>OG1.1</v>
      </c>
      <c r="N27" s="198" t="str">
        <v>Wissensspeicherung</v>
      </c>
      <c r="O27" s="197"/>
      <c r="P27" s="192">
        <v>5</v>
      </c>
      <c r="Q27" s="193">
        <v>4</v>
      </c>
      <c r="R27" s="193">
        <v>3</v>
      </c>
      <c r="S27" s="193">
        <v>2</v>
      </c>
      <c r="T27" s="193">
        <v>1</v>
      </c>
      <c r="U27" s="193"/>
      <c r="V27" s="193"/>
      <c r="W27" s="193"/>
      <c r="X27" s="193"/>
    </row>
    <row r="28" spans="1:24" x14ac:dyDescent="0.3">
      <c r="A28" s="102"/>
      <c r="B28" s="172" t="s">
        <v>135</v>
      </c>
      <c r="C28" s="183" t="s">
        <v>139</v>
      </c>
      <c r="D28" s="171">
        <f>'OG2.2'!L6</f>
        <v>0</v>
      </c>
      <c r="E28" s="170">
        <f t="shared" si="0"/>
        <v>4</v>
      </c>
      <c r="F28" s="170">
        <f t="shared" si="2"/>
        <v>4</v>
      </c>
      <c r="M28" s="194" t="str">
        <v>OG1.2</v>
      </c>
      <c r="N28" s="198" t="str">
        <v>Services</v>
      </c>
      <c r="O28" s="197"/>
      <c r="P28" s="192">
        <v>5</v>
      </c>
      <c r="Q28" s="193">
        <v>4</v>
      </c>
      <c r="R28" s="193">
        <v>3</v>
      </c>
      <c r="S28" s="193">
        <v>2</v>
      </c>
      <c r="T28" s="193">
        <v>1</v>
      </c>
      <c r="U28" s="193"/>
      <c r="V28" s="193"/>
      <c r="W28" s="193"/>
      <c r="X28" s="193"/>
    </row>
    <row r="29" spans="1:24" x14ac:dyDescent="0.3">
      <c r="A29" s="102"/>
      <c r="B29" s="172" t="s">
        <v>149</v>
      </c>
      <c r="C29" s="183" t="s">
        <v>140</v>
      </c>
      <c r="D29" s="171">
        <f>'OG2.3'!L6</f>
        <v>0</v>
      </c>
      <c r="E29" s="170">
        <f t="shared" si="0"/>
        <v>4</v>
      </c>
      <c r="F29" s="170">
        <f t="shared" si="2"/>
        <v>4</v>
      </c>
      <c r="M29" s="194" t="str">
        <v>OG2.1</v>
      </c>
      <c r="N29" s="198" t="str">
        <v>Technische Redaktion</v>
      </c>
      <c r="O29" s="197"/>
      <c r="P29" s="192">
        <v>5</v>
      </c>
      <c r="Q29" s="193">
        <v>4</v>
      </c>
      <c r="R29" s="193">
        <v>3</v>
      </c>
      <c r="S29" s="193">
        <v>2</v>
      </c>
      <c r="T29" s="193">
        <v>1</v>
      </c>
      <c r="U29" s="193"/>
      <c r="V29" s="193"/>
      <c r="W29" s="193"/>
      <c r="X29" s="193"/>
    </row>
    <row r="30" spans="1:24" x14ac:dyDescent="0.3">
      <c r="A30" s="102"/>
      <c r="B30" s="172" t="s">
        <v>136</v>
      </c>
      <c r="C30" s="183" t="s">
        <v>141</v>
      </c>
      <c r="D30" s="171">
        <f>'OG3.1'!L6</f>
        <v>0</v>
      </c>
      <c r="E30" s="170">
        <f t="shared" si="0"/>
        <v>4</v>
      </c>
      <c r="F30" s="170">
        <f t="shared" si="2"/>
        <v>4</v>
      </c>
      <c r="M30" s="194" t="str">
        <v>OG2.2</v>
      </c>
      <c r="N30" s="198" t="str">
        <v>Stellenwert der technischen Dokumentation in der Organisation</v>
      </c>
      <c r="O30" s="197"/>
      <c r="P30" s="192">
        <v>5</v>
      </c>
      <c r="Q30" s="193">
        <v>4</v>
      </c>
      <c r="R30" s="193">
        <v>3</v>
      </c>
      <c r="S30" s="193">
        <v>2</v>
      </c>
      <c r="T30" s="193">
        <v>1</v>
      </c>
      <c r="U30" s="193"/>
      <c r="V30" s="193"/>
      <c r="W30" s="193"/>
      <c r="X30" s="193"/>
    </row>
    <row r="31" spans="1:24" x14ac:dyDescent="0.3">
      <c r="A31" s="102"/>
      <c r="B31" s="172" t="s">
        <v>137</v>
      </c>
      <c r="C31" s="183" t="s">
        <v>142</v>
      </c>
      <c r="D31" s="171">
        <f>'OG3.2'!L6</f>
        <v>0</v>
      </c>
      <c r="E31" s="170">
        <f t="shared" si="0"/>
        <v>4</v>
      </c>
      <c r="F31" s="170">
        <f t="shared" si="2"/>
        <v>4</v>
      </c>
      <c r="M31" s="194" t="str">
        <v>OG2.3</v>
      </c>
      <c r="N31" s="198" t="str">
        <v>Kulturelle Verankerung</v>
      </c>
      <c r="O31" s="197"/>
      <c r="P31" s="192">
        <v>5</v>
      </c>
      <c r="Q31" s="193">
        <v>4</v>
      </c>
      <c r="R31" s="193">
        <v>3</v>
      </c>
      <c r="S31" s="193">
        <v>2</v>
      </c>
      <c r="T31" s="193">
        <v>1</v>
      </c>
      <c r="U31" s="193"/>
      <c r="V31" s="193"/>
      <c r="W31" s="193"/>
      <c r="X31" s="193"/>
    </row>
    <row r="32" spans="1:24" x14ac:dyDescent="0.3">
      <c r="A32" s="102"/>
      <c r="B32" s="172" t="s">
        <v>150</v>
      </c>
      <c r="C32" s="183" t="s">
        <v>145</v>
      </c>
      <c r="D32" s="171">
        <f>'OG4.1'!L6</f>
        <v>0</v>
      </c>
      <c r="E32" s="170">
        <f t="shared" si="0"/>
        <v>4</v>
      </c>
      <c r="F32" s="170">
        <f t="shared" si="2"/>
        <v>4</v>
      </c>
      <c r="M32" s="194" t="str">
        <v>OG3.1</v>
      </c>
      <c r="N32" s="198" t="str">
        <v>Interne Schnittstellen</v>
      </c>
      <c r="O32" s="197"/>
      <c r="P32" s="192">
        <v>5</v>
      </c>
      <c r="Q32" s="193">
        <v>4</v>
      </c>
      <c r="R32" s="193">
        <v>3</v>
      </c>
      <c r="S32" s="193">
        <v>2</v>
      </c>
      <c r="T32" s="193">
        <v>1</v>
      </c>
      <c r="U32" s="193"/>
      <c r="V32" s="193"/>
      <c r="W32" s="193"/>
      <c r="X32" s="193"/>
    </row>
    <row r="33" spans="1:24" x14ac:dyDescent="0.3">
      <c r="A33" s="102"/>
      <c r="B33" s="172" t="s">
        <v>151</v>
      </c>
      <c r="C33" s="183" t="s">
        <v>146</v>
      </c>
      <c r="D33" s="171">
        <f>'OG4.2'!L6</f>
        <v>0</v>
      </c>
      <c r="E33" s="170">
        <f t="shared" si="0"/>
        <v>4</v>
      </c>
      <c r="F33" s="170">
        <f t="shared" si="2"/>
        <v>4</v>
      </c>
      <c r="M33" s="194" t="str">
        <v>OG3.2</v>
      </c>
      <c r="N33" s="198" t="str">
        <v>Externe Schnittstellen</v>
      </c>
      <c r="O33" s="197"/>
      <c r="P33" s="192">
        <v>5</v>
      </c>
      <c r="Q33" s="193">
        <v>4</v>
      </c>
      <c r="R33" s="193">
        <v>3</v>
      </c>
      <c r="S33" s="193">
        <v>2</v>
      </c>
      <c r="T33" s="193">
        <v>1</v>
      </c>
      <c r="U33" s="193"/>
      <c r="V33" s="193"/>
      <c r="W33" s="193"/>
      <c r="X33" s="193"/>
    </row>
    <row r="34" spans="1:24" x14ac:dyDescent="0.3">
      <c r="A34" s="102"/>
      <c r="B34" s="172" t="s">
        <v>152</v>
      </c>
      <c r="C34" s="183" t="s">
        <v>147</v>
      </c>
      <c r="D34" s="171">
        <f>'OG4.3'!L6</f>
        <v>0</v>
      </c>
      <c r="E34" s="170">
        <f t="shared" si="0"/>
        <v>4</v>
      </c>
      <c r="F34" s="170">
        <f t="shared" si="2"/>
        <v>4</v>
      </c>
      <c r="M34" s="194" t="str">
        <v>OG4.1</v>
      </c>
      <c r="N34" s="198" t="str">
        <v>Redaktionelle IT-Infrastruktur</v>
      </c>
      <c r="O34" s="197"/>
      <c r="P34" s="192">
        <v>5</v>
      </c>
      <c r="Q34" s="193">
        <v>4</v>
      </c>
      <c r="R34" s="193">
        <v>3</v>
      </c>
      <c r="S34" s="193">
        <v>2</v>
      </c>
      <c r="T34" s="193">
        <v>1</v>
      </c>
      <c r="U34" s="193"/>
      <c r="V34" s="193"/>
      <c r="W34" s="193"/>
      <c r="X34" s="193"/>
    </row>
    <row r="35" spans="1:24" x14ac:dyDescent="0.3">
      <c r="A35" s="102"/>
      <c r="B35" s="172" t="s">
        <v>153</v>
      </c>
      <c r="C35" s="183" t="s">
        <v>757</v>
      </c>
      <c r="D35" s="171">
        <f>'OG4.4'!L6</f>
        <v>0</v>
      </c>
      <c r="E35" s="170">
        <f t="shared" si="0"/>
        <v>4</v>
      </c>
      <c r="F35" s="170">
        <f t="shared" si="2"/>
        <v>4</v>
      </c>
      <c r="M35" s="194" t="str">
        <v>OG4.2</v>
      </c>
      <c r="N35" s="198" t="str">
        <v>Organisationale IT-Infrastruktur</v>
      </c>
      <c r="O35" s="197"/>
      <c r="P35" s="192">
        <v>5</v>
      </c>
      <c r="Q35" s="193">
        <v>4</v>
      </c>
      <c r="R35" s="193">
        <v>3</v>
      </c>
      <c r="S35" s="193">
        <v>2</v>
      </c>
      <c r="T35" s="193">
        <v>1</v>
      </c>
      <c r="U35" s="193"/>
      <c r="V35" s="193"/>
      <c r="W35" s="193"/>
      <c r="X35" s="193"/>
    </row>
    <row r="36" spans="1:24" x14ac:dyDescent="0.3">
      <c r="M36" s="194" t="str">
        <v>OG4.3</v>
      </c>
      <c r="N36" s="198" t="str">
        <v>Digitalisierung der Produkte</v>
      </c>
      <c r="O36" s="197"/>
      <c r="P36" s="192">
        <v>5</v>
      </c>
      <c r="Q36" s="193">
        <v>4</v>
      </c>
      <c r="R36" s="193">
        <v>3</v>
      </c>
      <c r="S36" s="193">
        <v>2</v>
      </c>
      <c r="T36" s="193">
        <v>1</v>
      </c>
      <c r="U36" s="193"/>
      <c r="V36" s="193"/>
      <c r="W36" s="193"/>
      <c r="X36" s="193"/>
    </row>
    <row r="37" spans="1:24" x14ac:dyDescent="0.3">
      <c r="M37" s="194" t="str">
        <v>OG4.4</v>
      </c>
      <c r="N37" s="198" t="str">
        <v>Produktions-IT-Infrastruktur</v>
      </c>
      <c r="O37" s="197"/>
      <c r="P37" s="192">
        <v>5</v>
      </c>
      <c r="Q37" s="193">
        <v>4</v>
      </c>
      <c r="R37" s="193">
        <v>3</v>
      </c>
      <c r="S37" s="193">
        <v>2</v>
      </c>
      <c r="T37" s="193">
        <v>1</v>
      </c>
      <c r="U37" s="193"/>
      <c r="V37" s="193"/>
      <c r="W37" s="193"/>
      <c r="X37" s="193"/>
    </row>
    <row r="38" spans="1:24" x14ac:dyDescent="0.3">
      <c r="O38" s="2"/>
    </row>
  </sheetData>
  <protectedRanges>
    <protectedRange sqref="O5:O37" name="EigenesZiel"/>
  </protectedRanges>
  <mergeCells count="2">
    <mergeCell ref="I2:K2"/>
    <mergeCell ref="M2:X2"/>
  </mergeCells>
  <phoneticPr fontId="33" type="noConversion"/>
  <dataValidations count="1">
    <dataValidation type="whole" allowBlank="1" showInputMessage="1" showErrorMessage="1" sqref="O5:O37" xr:uid="{B75F1CCC-37EC-463B-87E2-4D8BF76DEE52}">
      <formula1>1</formula1>
      <formula2>5</formula2>
    </dataValidation>
  </dataValidations>
  <pageMargins left="0.7" right="0.7" top="0.78740157499999996" bottom="0.78740157499999996"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42</vt:i4>
      </vt:variant>
      <vt:variant>
        <vt:lpstr>Benannte Bereiche</vt:lpstr>
      </vt:variant>
      <vt:variant>
        <vt:i4>2</vt:i4>
      </vt:variant>
    </vt:vector>
  </HeadingPairs>
  <TitlesOfParts>
    <vt:vector size="44" baseType="lpstr">
      <vt:lpstr>Deckblatt</vt:lpstr>
      <vt:lpstr>Einführung</vt:lpstr>
      <vt:lpstr>Dashboard</vt:lpstr>
      <vt:lpstr>Ausfüllhinweise</vt:lpstr>
      <vt:lpstr>Erläuterung</vt:lpstr>
      <vt:lpstr>Glossar</vt:lpstr>
      <vt:lpstr>Offene Punkte</vt:lpstr>
      <vt:lpstr>TD1.1</vt:lpstr>
      <vt:lpstr>TD1.2</vt:lpstr>
      <vt:lpstr>TD1.3</vt:lpstr>
      <vt:lpstr>TD1.4</vt:lpstr>
      <vt:lpstr>TD1.5</vt:lpstr>
      <vt:lpstr>TD1.6</vt:lpstr>
      <vt:lpstr>TD2.1</vt:lpstr>
      <vt:lpstr>TD2.2</vt:lpstr>
      <vt:lpstr>TD2.3</vt:lpstr>
      <vt:lpstr>TD2.4</vt:lpstr>
      <vt:lpstr>TD2.5</vt:lpstr>
      <vt:lpstr>TD2.6</vt:lpstr>
      <vt:lpstr>TD2.7</vt:lpstr>
      <vt:lpstr>TD2.8</vt:lpstr>
      <vt:lpstr>TD3.1</vt:lpstr>
      <vt:lpstr>TD3.2</vt:lpstr>
      <vt:lpstr>TD3.3</vt:lpstr>
      <vt:lpstr>TD3.4</vt:lpstr>
      <vt:lpstr>TD4.1</vt:lpstr>
      <vt:lpstr>TD4.2</vt:lpstr>
      <vt:lpstr>TD4.3</vt:lpstr>
      <vt:lpstr>TD4.4</vt:lpstr>
      <vt:lpstr>OG1.1</vt:lpstr>
      <vt:lpstr>OG1.2</vt:lpstr>
      <vt:lpstr>OG2.1</vt:lpstr>
      <vt:lpstr>OG2.2</vt:lpstr>
      <vt:lpstr>OG2.3</vt:lpstr>
      <vt:lpstr>OG3.1</vt:lpstr>
      <vt:lpstr>OG3.2</vt:lpstr>
      <vt:lpstr>OG4.1</vt:lpstr>
      <vt:lpstr>OG4.2</vt:lpstr>
      <vt:lpstr>OG4.3</vt:lpstr>
      <vt:lpstr>OG4.4</vt:lpstr>
      <vt:lpstr>Versionshistorie</vt:lpstr>
      <vt:lpstr>Data</vt:lpstr>
      <vt:lpstr>Dashboard!Druckbereich</vt:lpstr>
      <vt:lpstr>Einführung!Druckbereich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NIRO_RGM_TD_Erhebungstool</dc:title>
  <dc:subject>Reifegradmodell für die Technische Dokumentation</dc:subject>
  <dc:creator/>
  <cp:keywords/>
  <cp:lastModifiedBy/>
  <dcterms:created xsi:type="dcterms:W3CDTF">2022-02-21T14:53:31Z</dcterms:created>
  <dcterms:modified xsi:type="dcterms:W3CDTF">2025-12-09T10:43:36Z</dcterms:modified>
</cp:coreProperties>
</file>